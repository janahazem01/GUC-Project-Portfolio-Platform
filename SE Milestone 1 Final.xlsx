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hab game3y\SEM 6\Software Engineering\Project\"/>
    </mc:Choice>
  </mc:AlternateContent>
  <bookViews>
    <workbookView xWindow="0" yWindow="0" windowWidth="28800" windowHeight="12315" activeTab="1"/>
  </bookViews>
  <sheets>
    <sheet name="Team Info" sheetId="1" r:id="rId1"/>
    <sheet name="SE Milestone 1" sheetId="2" r:id="rId2"/>
    <sheet name="Non-Functional Requirements She" sheetId="3" r:id="rId3"/>
  </sheets>
  <definedNames>
    <definedName name="_xlnm._FilterDatabase" localSheetId="1" hidden="1">'SE Milestone 1'!$A$1:$G$4</definedName>
  </definedNames>
  <calcPr calcId="152511"/>
</workbook>
</file>

<file path=xl/calcChain.xml><?xml version="1.0" encoding="utf-8"?>
<calcChain xmlns="http://schemas.openxmlformats.org/spreadsheetml/2006/main">
  <c r="A3" i="3" l="1"/>
  <c r="A4" i="3" s="1"/>
  <c r="A5" i="3" s="1"/>
  <c r="A6" i="3" s="1"/>
  <c r="A7" i="3" s="1"/>
  <c r="A8" i="3" s="1"/>
  <c r="A9" i="3" s="1"/>
  <c r="A10" i="3" s="1"/>
  <c r="A11" i="3" s="1"/>
  <c r="C4" i="2" l="1"/>
  <c r="C5" i="2"/>
  <c r="C6" i="2" l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l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</calcChain>
</file>

<file path=xl/sharedStrings.xml><?xml version="1.0" encoding="utf-8"?>
<sst xmlns="http://schemas.openxmlformats.org/spreadsheetml/2006/main" count="543" uniqueCount="361">
  <si>
    <t>Team Name</t>
  </si>
  <si>
    <t>Name</t>
  </si>
  <si>
    <t>ID</t>
  </si>
  <si>
    <t>Email</t>
  </si>
  <si>
    <t>Tutorial</t>
  </si>
  <si>
    <t>Module</t>
  </si>
  <si>
    <t>Depends on User Story ID</t>
  </si>
  <si>
    <t>Requirement ID</t>
  </si>
  <si>
    <t>User Story</t>
  </si>
  <si>
    <t>Notes</t>
  </si>
  <si>
    <t>As a</t>
  </si>
  <si>
    <t>I want to</t>
  </si>
  <si>
    <t>So that</t>
  </si>
  <si>
    <t>-</t>
  </si>
  <si>
    <t>Measurment</t>
  </si>
  <si>
    <t>Corresponding Functional Requirments</t>
  </si>
  <si>
    <t>Description</t>
  </si>
  <si>
    <t>Students</t>
  </si>
  <si>
    <t>Student/course instructor/administrator/employer</t>
  </si>
  <si>
    <t xml:space="preserve">I can create an account and access the platform </t>
  </si>
  <si>
    <t>Register an account with my institutional email</t>
  </si>
  <si>
    <t>my account is authenticated and only authorized users can access the platform</t>
  </si>
  <si>
    <t>I can re-login without creating a duplicate account</t>
  </si>
  <si>
    <t>administrator</t>
  </si>
  <si>
    <t>student</t>
  </si>
  <si>
    <t>my work is presented in a structured professional format</t>
  </si>
  <si>
    <t>projects can be routed to the correct academic reviewers</t>
  </si>
  <si>
    <t>accept or decline a project invitation</t>
  </si>
  <si>
    <t>my participation is reflected accurately on the platform</t>
  </si>
  <si>
    <t>they ensure the safety and professionalism of the platform</t>
  </si>
  <si>
    <t>assign instructors and supervisors to the course or project categories they oversee</t>
  </si>
  <si>
    <t>suspend user accounts</t>
  </si>
  <si>
    <t>I can enforce platform rules and handle misuse</t>
  </si>
  <si>
    <t>control whether my portfolio is publicly discoverable</t>
  </si>
  <si>
    <t>I can decide when others are allowed to view my profile</t>
  </si>
  <si>
    <t>I can highlight my strongest work first</t>
  </si>
  <si>
    <t>as a student can accept/reject invitation requests (collaborators) &amp; as an administrator when an instructor posts a project</t>
  </si>
  <si>
    <t>assign project roles to collaborators</t>
  </si>
  <si>
    <t>responsibilities are clear within the team</t>
  </si>
  <si>
    <t>the team structure is transparent to everyone involved</t>
  </si>
  <si>
    <t>save a project as a draft before publishing or submitting it</t>
  </si>
  <si>
    <t>I can complete the project information incrementally</t>
  </si>
  <si>
    <t>students know what to improve/clarify and for the employers to know how the specific student's performance was</t>
  </si>
  <si>
    <t>students individual work refers to either project contribution or lab courses</t>
  </si>
  <si>
    <t>I can manage my review workload efficiently</t>
  </si>
  <si>
    <t>reply to instructor or supervisor feedback</t>
  </si>
  <si>
    <t>the review discussion is documented in one place</t>
  </si>
  <si>
    <t>state the type of opportunities I am interested in</t>
  </si>
  <si>
    <t>employers can judge whether their roles fit my interests</t>
  </si>
  <si>
    <t>I can use it outside the platform when needed</t>
  </si>
  <si>
    <t>request revisions on a submitted project</t>
  </si>
  <si>
    <t>students can address issues before final approval</t>
  </si>
  <si>
    <t>if a student worked on an external project, a random instructor can come across it and approve its idea and my work</t>
  </si>
  <si>
    <t>accept or decline assignment to a course on the platform</t>
  </si>
  <si>
    <t>course ownership reflects actual academic responsibility</t>
  </si>
  <si>
    <t>view pending collaboration invitations for a project</t>
  </si>
  <si>
    <t>the team knows which collaborators have not responded yet</t>
  </si>
  <si>
    <t>It can be a guc email for student/course instructor/employer and a professional email for employer..During the registration process, I do specify my role (instructor/student/administrator/employer) as a user.</t>
  </si>
  <si>
    <t>receive an automated confirmation email or OTP during registration</t>
  </si>
  <si>
    <t xml:space="preserve">recover access to my account when I forget my credentials by receiving an email </t>
  </si>
  <si>
    <t>students can classify course projects consistently and the platform maintains an accurate and up to date list of available courses</t>
  </si>
  <si>
    <t>accept/reject the employers' contacts with students</t>
  </si>
  <si>
    <t>I can accept/reject the interaction of employers with students and only legitimate recruiters can use employer-specific features</t>
  </si>
  <si>
    <t>deactivate my account</t>
  </si>
  <si>
    <t xml:space="preserve">i don't use my account temporarily </t>
  </si>
  <si>
    <t xml:space="preserve">pin projects and arrange the order of projects </t>
  </si>
  <si>
    <t>login using my credentials /logout</t>
  </si>
  <si>
    <t>I can access/unaccess the platform</t>
  </si>
  <si>
    <t>In case of logging out, my session is terminated and not left open on a shared device but remains secure</t>
  </si>
  <si>
    <t>the project is organized correctly from the beginning and easily accessed and reviewers can inspect the implementation source externally</t>
  </si>
  <si>
    <t>student/employer/course instructor</t>
  </si>
  <si>
    <t>download any documents from project of interest</t>
  </si>
  <si>
    <t>I can easily access them offline for further review</t>
  </si>
  <si>
    <t>documents such as PDF files, images, live demos</t>
  </si>
  <si>
    <t>student/course instructor</t>
  </si>
  <si>
    <t>I can manage which projects are currently active or visible in my portfolio</t>
  </si>
  <si>
    <t xml:space="preserve">course instructor </t>
  </si>
  <si>
    <t>export or share my portfolio as a single profile link/username</t>
  </si>
  <si>
    <t xml:space="preserve">example:sharing my poritfolio's link to peers via a social media platform </t>
  </si>
  <si>
    <t xml:space="preserve">archive/unarchive projects without deleting it permenantly </t>
  </si>
  <si>
    <t xml:space="preserve">add and maintain the project description,repository link,live application link , set team name and split project into milestones if needed </t>
  </si>
  <si>
    <t xml:space="preserve">its not considered a part of updating a project(CRUD) because I can create a project with no assignment to roles/collaborators, so these 2 are different </t>
  </si>
  <si>
    <t>student/course instructor/employer</t>
  </si>
  <si>
    <t>course instructor</t>
  </si>
  <si>
    <t>Authentication and User Management</t>
  </si>
  <si>
    <t>Project Management</t>
  </si>
  <si>
    <t>link each post to a specific project</t>
  </si>
  <si>
    <t>viewers can understand the context of the post and access the related project details.</t>
  </si>
  <si>
    <t>view project-related posts</t>
  </si>
  <si>
    <t xml:space="preserve"> I can stay informed about project progress and recent updates shared on the platform.</t>
  </si>
  <si>
    <t xml:space="preserve">like and remove my like from a post </t>
  </si>
  <si>
    <t>I can express appreciation for updates or content I find valuable.</t>
  </si>
  <si>
    <t xml:space="preserve">add, view, edit, and delete comments on posts </t>
  </si>
  <si>
    <t>I can participate in discussions about shared project updates.</t>
  </si>
  <si>
    <t>repost project-related posts with reference to original source</t>
  </si>
  <si>
    <t>useful or impressive updates can reach a wider audience on the platform.</t>
  </si>
  <si>
    <t>I can share relevant information with other users on the platform.</t>
  </si>
  <si>
    <t>create, publish, update, and delete posts</t>
  </si>
  <si>
    <t>as Student: i post updates, milestones, or achievements related to their projects... as a Course Instructor i post about projects, research work, or academic initiatives they are involved in and as an Employer i posts job opportunities or recruitment announcements targeting students on the platform.</t>
  </si>
  <si>
    <t>they can access/edit the project or revoke the access</t>
  </si>
  <si>
    <t>directly message other users when needed</t>
  </si>
  <si>
    <t>I can communicate regarding projects, collaboration, academic supervision, or recruitment opportunities.</t>
  </si>
  <si>
    <t>SE_Team27</t>
  </si>
  <si>
    <t>Jana Hazem</t>
  </si>
  <si>
    <t>Farida Khattab</t>
  </si>
  <si>
    <t>61-1821</t>
  </si>
  <si>
    <t>jana.hazem@student.guc.edu.eg</t>
  </si>
  <si>
    <t>farida.ayman@student.guc.edu.eg</t>
  </si>
  <si>
    <t>61-2989</t>
  </si>
  <si>
    <t>Student: bookmarks projects that inspire them or relate to courses they plan to take...Course Instructor: bookmarks projects to review them later for evaluation, feedback, or academic reference...Employer:bookmarks projects created by students whose work appears promising for potential recruitment opportunities.</t>
  </si>
  <si>
    <t>follow other users on the platform</t>
  </si>
  <si>
    <t>I can receive notifications when they publish new projects or update their portfolios.</t>
  </si>
  <si>
    <t>upload media files such as PDFs, demo videos, and images</t>
  </si>
  <si>
    <t>I can share supporting materials and visual content related to projects or posts on the platform</t>
  </si>
  <si>
    <t xml:space="preserve">    Student: uploads PDF documents (e.g., reports or thesis), demo videos, and screenshots/images to showcase their project and explain its functionality….Course Instructor: uploads PDF resources, documentation, or demonstration media related to academic or research projects they are involved in....Employer: uploads PDF job descriptions, promotional media, or informational materials to provide details about job opportunities or company initiatives.</t>
  </si>
  <si>
    <t>Student/course instructor/employer</t>
  </si>
  <si>
    <t>student/course instructor/employer/administrator</t>
  </si>
  <si>
    <t>this is different than requirement id: 38…. Beacause administrator can view posts but can not do the same functionalities of requirement 38</t>
  </si>
  <si>
    <t xml:space="preserve">archive/unarchive/delete media files that have been previously posted </t>
  </si>
  <si>
    <t>I can manage their visibility and keep my content organized</t>
  </si>
  <si>
    <t>Administrator</t>
  </si>
  <si>
    <t>select specific project or portfolio from a list of available projects or portfolios</t>
  </si>
  <si>
    <t>Student: review project details for learning or inspiration. Course Instructor: review student work for evaluation. Employer: assess student skills for recruitment.</t>
  </si>
  <si>
    <t>managing: as a student, I can specify my major… as an employer/course instructor, I can specify the organization/company I'm enrolled in.. As any user, I can manage my portfolio by add, update,delete contact information and professional links on my portfolio and upload a profile image and short biography</t>
  </si>
  <si>
    <t>it is different that requirement id: 42 because it is different stakeholders with different reasoning as here the administrator takes an action towards others' files while requirement 42, the owner himself takes the action.</t>
  </si>
  <si>
    <t>61-13396</t>
  </si>
  <si>
    <t>ali.elfarargy@student.guc.edu.eg</t>
  </si>
  <si>
    <t xml:space="preserve">Tawfic wael mohammed </t>
  </si>
  <si>
    <t>61-12971</t>
  </si>
  <si>
    <t>Tawfic.kobtan@student.guc.edu.eg</t>
  </si>
  <si>
    <t xml:space="preserve">student/course instructor </t>
  </si>
  <si>
    <t xml:space="preserve">the project documentation can be improved collaboratively </t>
  </si>
  <si>
    <t>this is different than actually updating the project, this is only proposing that can get further approved or rejected and A collaborator submits a modified version of the project description, The project owner reviews the proposed change.</t>
  </si>
  <si>
    <t>I can access its detailed information</t>
  </si>
  <si>
    <t>view a list of proposal edits made by peers/course instructors</t>
  </si>
  <si>
    <t>I can accept or reject the proposed edits</t>
  </si>
  <si>
    <t>the project documentation remains accurate.</t>
  </si>
  <si>
    <t>evaluate students' project and students' individual work</t>
  </si>
  <si>
    <t>approve or reject proposed edits from collaborators</t>
  </si>
  <si>
    <t xml:space="preserve">leave or add feedbacks on a project </t>
  </si>
  <si>
    <t>teams receive constructive insights from other students/course instructors</t>
  </si>
  <si>
    <t>I can view all projects related to a specific course or course projects or bachelor projects and academic year</t>
  </si>
  <si>
    <t>Employer</t>
  </si>
  <si>
    <t>Student/Employer</t>
  </si>
  <si>
    <t>access a project’s repository link and project demo link</t>
  </si>
  <si>
    <t>I can review the project source code and observe the project in action (Externally)</t>
  </si>
  <si>
    <t>by getting redirected to external resources</t>
  </si>
  <si>
    <t>view project documentation or thesis files and research papers associated with a project</t>
  </si>
  <si>
    <t>I can understand the technical details of the work and explore academic contributions of the project</t>
  </si>
  <si>
    <t>view a student’s portfolio</t>
  </si>
  <si>
    <t>I can explore their projects in one place</t>
  </si>
  <si>
    <t>apply multiple filters simultaneously</t>
  </si>
  <si>
    <t>I can narrow down the search results to the most relevant projects</t>
  </si>
  <si>
    <t>report inappropriate or misleading project content</t>
  </si>
  <si>
    <t>administrators can investigate potential violations.</t>
  </si>
  <si>
    <t>Reports trigger an administrative review workflow.</t>
  </si>
  <si>
    <t>view statistics about my portfolio engagement</t>
  </si>
  <si>
    <t>I can understand how often my work is viewed.</t>
  </si>
  <si>
    <t>Statistics may include project views (for students/course instructors)or portfolio visits.</t>
  </si>
  <si>
    <t>sort projects by relevance or recency</t>
  </si>
  <si>
    <t>I can easily find the most useful or latest projects.</t>
  </si>
  <si>
    <t>Sorting criteria include newest projects, most viewed projects, or highest rated projects.</t>
  </si>
  <si>
    <t xml:space="preserve">no collaborators can modify the project during review. </t>
  </si>
  <si>
    <t>The course instructor automatically locks editing when the project submission deadline has passed to prevent further modifications or when the instructor is in the process of reviewing the project</t>
  </si>
  <si>
    <t>temporarily lock project editing</t>
  </si>
  <si>
    <t>receive recommended projects based on my interests</t>
  </si>
  <si>
    <t>I can discover relevant student work.</t>
  </si>
  <si>
    <t xml:space="preserve">view a list of my search results </t>
  </si>
  <si>
    <t>I can easily browse and select the most relevant projects or portfolios</t>
  </si>
  <si>
    <t>view project-related dates in a calendar</t>
  </si>
  <si>
    <t>I can keep track of important academic milestones</t>
  </si>
  <si>
    <t>Dates may include submission deadlines, review meetings, presentation dates, and feedback deadlines.</t>
  </si>
  <si>
    <t>view suggested relevant people for a project</t>
  </si>
  <si>
    <t>I can identify potential collaborators, supervisors, or recruiters related to my interests</t>
  </si>
  <si>
    <t>Suggestions may be based on shared course, project category, skills, prior collaborations, or hiring interests.</t>
  </si>
  <si>
    <t>employer/student/course instructor</t>
  </si>
  <si>
    <t>I can recognize their skills or contributions</t>
  </si>
  <si>
    <t>endorsements may be given by peers, instructors, or employers depending on access rules.</t>
  </si>
  <si>
    <t>create, view, update, and remove endorsements on a student’s portfolio/ profile</t>
  </si>
  <si>
    <t>employer/student/course instructor/adminstrator</t>
  </si>
  <si>
    <t>submit/report support issues through a help centre</t>
  </si>
  <si>
    <t>I can get assistance when I face problems on the platform</t>
  </si>
  <si>
    <t>issue cases may include account issues, project submission issues, incorrect content, access problems, or technical bugs.</t>
  </si>
  <si>
    <t>request writing assistance from an AI copilot</t>
  </si>
  <si>
    <t>I can improve the clarity and quality of my project and portfolio descriptions.</t>
  </si>
  <si>
    <t>The AI copilot provides assistance only for textual content related to project documentation and portfolio presentation.</t>
  </si>
  <si>
    <t>control the playback of demo videos attached to projects</t>
  </si>
  <si>
    <t>I can review important parts of the demonstration at my own pace</t>
  </si>
  <si>
    <t>Playback control cases include play, pause, resume, rewind, and fast-forward. Since these are controls on the same video playback functionality, they should be treated as one requirement</t>
  </si>
  <si>
    <t>view the list of all the bookmarks I’ve previously added</t>
  </si>
  <si>
    <t xml:space="preserve">I can easily access projects or portfolios I saved earlier. </t>
  </si>
  <si>
    <t>this is different than requirement 40 as requirement 40 adds/removes bookmarks however this requirement ensures the access of the bookmarks' list</t>
  </si>
  <si>
    <t>Discovery and Exploration</t>
  </si>
  <si>
    <t xml:space="preserve">manually check employer accounts/portfolios/profiles before they can contact students </t>
  </si>
  <si>
    <t>students can also control their posts/projects' visibility</t>
  </si>
  <si>
    <t>a course instructor can get assigned to multiple courses</t>
  </si>
  <si>
    <t>course instructor / student</t>
  </si>
  <si>
    <t xml:space="preserve">Project can be either course or bachelor. </t>
  </si>
  <si>
    <t>view the course/bachelor projects assigned to me and viewing the assigned courses as a list</t>
  </si>
  <si>
    <t>select a bachelor project from the list of available bachelor projects</t>
  </si>
  <si>
    <t>I can formally choose the project I want to work on.</t>
  </si>
  <si>
    <t>The list of bachelor projects contains projects that are published or approved by course instructors or administrators.</t>
  </si>
  <si>
    <t>bulk import student lists and instructors lists</t>
  </si>
  <si>
    <t xml:space="preserve">students/course instructors can easily setup their accounts </t>
  </si>
  <si>
    <t>administrators bulk import student/course instructors list via csv</t>
  </si>
  <si>
    <t>student, employer, course instructor,administrator</t>
  </si>
  <si>
    <t>translate project posts into a language I understand from a list of available languages</t>
  </si>
  <si>
    <t>I can fully comprehend the content regardless of the original language used.</t>
  </si>
  <si>
    <t>This feature is particularly useful when a user encounters a project post written in a language they do not understand but may still be interested in exploring or evaluating.</t>
  </si>
  <si>
    <t>define the "Terms of Service"</t>
  </si>
  <si>
    <t>Authentication and user Management</t>
  </si>
  <si>
    <t>all users clearly understand the platform’s rules, responsibilities, acceptable usage policies, and legal conditions before accessing or interacting with the system.</t>
  </si>
  <si>
    <t xml:space="preserve">Employer: I want to follow a specific technology tag to get updates on new projects in that field.
</t>
  </si>
  <si>
    <t>view the list of all collaborators and their roles on a project</t>
  </si>
  <si>
    <t xml:space="preserve">view platform-wide statistics (such as the total number of registered users and total number of posts) </t>
  </si>
  <si>
    <t>I can monitor the platform’s growth and activity.</t>
  </si>
  <si>
    <t>export a report of all bachelor projects/project titles</t>
  </si>
  <si>
    <t>view a system status page during maintenance periods</t>
  </si>
  <si>
    <t>I am informed about temporary service interruptions and understand when the platform will become available again.</t>
  </si>
  <si>
    <t>I stay aware of important project activity and do not miss important deadlines</t>
  </si>
  <si>
    <t>view a list of all projects submitted under my specific course</t>
  </si>
  <si>
    <t>I can easily review and manage the submitted projects</t>
  </si>
  <si>
    <t>add private notes to saved portfolios or projects</t>
  </si>
  <si>
    <t>I can remember why a project/portfolio was shortlisted</t>
  </si>
  <si>
    <t>view the assigned supervisor or instructor for my project</t>
  </si>
  <si>
    <t>I know who is responsible for reviewing or overseeing it</t>
  </si>
  <si>
    <t>reminder cases can include 24 hours before the due date, 7 days before the due date, or both depending on the project type or user settings. For example: receive a notification when a reviewer approves or requests revisions on my project ,So That I know immediately whether I can publish or need to make updates</t>
  </si>
  <si>
    <t>student, employer, course instructor</t>
  </si>
  <si>
    <t>choose whether students/course instructors/employers are allowed to contact me through the platform</t>
  </si>
  <si>
    <t>I can control my communication preferences</t>
  </si>
  <si>
    <t>Authentication and user management</t>
  </si>
  <si>
    <t>Student</t>
  </si>
  <si>
    <t>my profile reflects only work I actively contribute to.</t>
  </si>
  <si>
    <r>
      <t xml:space="preserve">leave a project </t>
    </r>
    <r>
      <rPr>
        <sz val="10"/>
        <color rgb="FF000000"/>
        <rFont val="Arial"/>
        <family val="2"/>
        <scheme val="minor"/>
      </rPr>
      <t>that I previously accepted an invitation to collaborate on</t>
    </r>
  </si>
  <si>
    <t>view a list of all reported content</t>
  </si>
  <si>
    <t>I can monitor and resolve reported issues on the platform.</t>
  </si>
  <si>
    <t>bookmark and remove bookmarks from projects/students' profiles</t>
  </si>
  <si>
    <t>I can easily revisit projects/students' profiles I find relevant in the future.</t>
  </si>
  <si>
    <t>Student/ course instructor/employer</t>
  </si>
  <si>
    <t>able to manually generate a "Portfolio Summary" PDF that includes my bio and links to my projects</t>
  </si>
  <si>
    <t>I can use it for external job or internship applications.</t>
  </si>
  <si>
    <t>Student: Select up to 3 projects and manually generate the portfolio PDF (template-based, not AI-generated)...Employer: Can manually generate a company/career portfolio PDF including company info and posted opportunities..Course Instructor: Can manually generate a professional/teaching portfolio PDF including bio and selected academic or project contributions.</t>
  </si>
  <si>
    <t>Course Instructor</t>
  </si>
  <si>
    <t>view a list of all the reviews and feedback I have previously given to projects or students I supervised</t>
  </si>
  <si>
    <t>provide feedback that is visible only to the project collaborators (Private Instructor Feedback) and not the general public</t>
  </si>
  <si>
    <t xml:space="preserve"> update/reset my account password using my current password and a new password</t>
  </si>
  <si>
    <t xml:space="preserve">"approve" or "disapprove" a project’s final submission on the platform </t>
  </si>
  <si>
    <t xml:space="preserve">I signal that the work has met the university’s academic standards </t>
  </si>
  <si>
    <t>in case of the course instructor being the Bachelor Supervisor.</t>
  </si>
  <si>
    <t>connect my university alumni network profile dynamically once I graduate</t>
  </si>
  <si>
    <t>my identity shifts organically from 'Student' to 'Alumni Mentor' inside the ecosystem</t>
  </si>
  <si>
    <t>employers can review my qualifications</t>
  </si>
  <si>
    <t>hide/unhide or block/unblock my entire profile/portfolio from public users without deleting my account</t>
  </si>
  <si>
    <t>I can take a break from recruitment messages when I am not actively job hunting</t>
  </si>
  <si>
    <t>view a dashboard that shows recent activity, notifications, and my projects</t>
  </si>
  <si>
    <t>I have an overview.</t>
  </si>
  <si>
    <t>in the case of employers, projects won't be viewed</t>
  </si>
  <si>
    <t>feedbacks can be anonymous if the owner allows it</t>
  </si>
  <si>
    <t>Security</t>
  </si>
  <si>
    <t>scalability</t>
  </si>
  <si>
    <t>The system shall support 10,000 concurrent video streams with buffering less than 1 second.</t>
  </si>
  <si>
    <t>The system shall detect broken or unauthorized URL links in the 'Demo Link' and flag them</t>
  </si>
  <si>
    <t>Usability</t>
  </si>
  <si>
    <t>submit a project</t>
  </si>
  <si>
    <t xml:space="preserve">the instructor can review/view/evaluate it </t>
  </si>
  <si>
    <t>The projects can either be bachelors or course</t>
  </si>
  <si>
    <t>The system must ensure that private project data and unshared user profile information are inaccessible to any user who is not an authorized collaborator or the project owner.</t>
  </si>
  <si>
    <t>Privacy</t>
  </si>
  <si>
    <t>100% of unauthorized access attempts to private project URLs must result in an access denied (403) status code.</t>
  </si>
  <si>
    <t>filter projects by selecting course name / project type/ portfolio</t>
  </si>
  <si>
    <t>invite other students to join/collaborate a project or remove collaborators using username</t>
  </si>
  <si>
    <t>Elasticity</t>
  </si>
  <si>
    <t>student//course instructor/admin</t>
  </si>
  <si>
    <t>view the history of edits made to a project</t>
  </si>
  <si>
    <t>I can track what changes were made, by whom, and restore information if something was modified incorrectly.</t>
  </si>
  <si>
    <t>student/employer/course instructor/administrator</t>
  </si>
  <si>
    <t>Search for projects, portfolios, and students using keywords related to project titles, descriptions, technologies, or project topics by using text or voice recognition</t>
  </si>
  <si>
    <t>quickly find projects I am interested in, discover portfolios of students with specific project experience, and identify potential candidates.</t>
  </si>
  <si>
    <t>take skill assessments or coding challenges directly through the platform.</t>
  </si>
  <si>
    <t>my technical abilities can be evaluated and demonstrated to potential recruiters or reviewers.</t>
  </si>
  <si>
    <t>Assessments may include multiple-choice questions, coding exercises in an online editor, or problem-solving tasks that require implementing algorithms or small features.</t>
  </si>
  <si>
    <t xml:space="preserve">View student contributions and activity on the platform. </t>
  </si>
  <si>
    <t>course instructor/employer</t>
  </si>
  <si>
    <t>share my resume/CV/LinkedIn profile to my profile</t>
  </si>
  <si>
    <t>I can better understand a student’s level of engagement, progress, and participation in projects</t>
  </si>
  <si>
    <t>Instructors can use this information to monitor participation and evaluate progress, while employers can assess candidates’ practical experience, work quality, and level of involvement in real projects.</t>
  </si>
  <si>
    <t xml:space="preserve">identify and highlight top-performing solutions submitted by students in projects or assessments
</t>
  </si>
  <si>
    <t>High-quality work is recognized and students with strong technical performance can be considered for rewards or career opportunities.</t>
  </si>
  <si>
    <t>create and manage (CRUD) my portfolio profile with my academic background,skills and achievements</t>
  </si>
  <si>
    <t>create and maintain(CRUD) the list of the courses that can be linked to projects</t>
  </si>
  <si>
    <t>Create, schedule, store, verify, and restore (CRUD) system backups, record system and user activity logs, and detect unauthorized data modifications.</t>
  </si>
  <si>
    <t>System data can be recovered after failures, system activities can be traced, and the platform’s data integrity can be preserved.</t>
  </si>
  <si>
    <t>I can be considered by employers for relevant career opportunities</t>
  </si>
  <si>
    <t xml:space="preserve">student </t>
  </si>
  <si>
    <t>Students may apply for internships or entry-level job opportunities related to their academic projects and skills. A student can browse available job or internship postings, open a specific opportunity, and submit an application through the platform. During submission, the system attaches the student’s profile, portfolio, and relevant project experience, and allows the student to include a short message or cover note.</t>
  </si>
  <si>
    <t>View a list of all available job and internship opportunities on the platform.</t>
  </si>
  <si>
    <t>I can explore and identify opportunities that match my skills, interests, and career goals.</t>
  </si>
  <si>
    <t>Students should be able to open a specific listing to view the full description and application details before deciding whether to apply.</t>
  </si>
  <si>
    <t>see a portfolio completion indicator based on the information I have already added to my profile and projects</t>
  </si>
  <si>
    <t>I can know what is still missing before sharing my portfolio with instructors or employers.</t>
  </si>
  <si>
    <t>schedule the automatic publishing of project updates or posts</t>
  </si>
  <si>
    <t>I can ensure the authenticity of content on the platform</t>
  </si>
  <si>
    <t>the university can ensure accurate academic records and documentation.</t>
  </si>
  <si>
    <t>I can ensure academic privacy</t>
  </si>
  <si>
    <t>I can track my past evaluations and ensure and improve consistency in my assessments.</t>
  </si>
  <si>
    <t>create a project and classify/label it as a course project or bachelor project and add the project repository link,see the current submission and review status of a project</t>
  </si>
  <si>
    <t>interests are collected based on likes,comments,reposts,posts</t>
  </si>
  <si>
    <t>student/admin/course instructor</t>
  </si>
  <si>
    <t>duplicate an existing project entry as a template</t>
  </si>
  <si>
    <t>I can quickly create a new project without re entering all the details manually</t>
  </si>
  <si>
    <t>progress updates appear at the right time without needing manual posting.</t>
  </si>
  <si>
    <t>such as project name…Search mode cases include typed text queries and voice-recognized queries. The system should convert voice input into searchable text before executing the search. this is different than searching with keywords bec this shows the modes i can search with and the other requirement shows how can the search process be</t>
  </si>
  <si>
    <t xml:space="preserve">apply/select for jobs or internship opportunities through the platform </t>
  </si>
  <si>
    <t xml:space="preserve">propose/request edits to the project </t>
  </si>
  <si>
    <t>ensure the security of my account</t>
  </si>
  <si>
    <t>96,97</t>
  </si>
  <si>
    <t>92,22</t>
  </si>
  <si>
    <t>9,21</t>
  </si>
  <si>
    <t>62,9</t>
  </si>
  <si>
    <t>60,50</t>
  </si>
  <si>
    <t>56,71</t>
  </si>
  <si>
    <t>1,6</t>
  </si>
  <si>
    <t>49,35-&gt;38</t>
  </si>
  <si>
    <t>35-&gt;39,41,22,47,48</t>
  </si>
  <si>
    <t>22,48</t>
  </si>
  <si>
    <t>8,9</t>
  </si>
  <si>
    <t>6,7</t>
  </si>
  <si>
    <t>92,8</t>
  </si>
  <si>
    <t>remove videos/demos/posts that violate the copyright guidelines</t>
  </si>
  <si>
    <t>38,9</t>
  </si>
  <si>
    <t>49,63</t>
  </si>
  <si>
    <t>12,38</t>
  </si>
  <si>
    <t>6,9</t>
  </si>
  <si>
    <t>16,49</t>
  </si>
  <si>
    <t>9,12</t>
  </si>
  <si>
    <t>Ali Mohamed Farid</t>
  </si>
  <si>
    <t>The system shall lock a user account after multiple consecutive failed login attempts to limit repeated unauthorized authentication attempts</t>
  </si>
  <si>
    <t>5 consecutive failed login attempts</t>
  </si>
  <si>
    <t>As a logged in user I should have fast streaming</t>
  </si>
  <si>
    <t>At least 99.5% of internal URLs shall resolve successfully (HTTP status 200) during automated link validation scans.</t>
  </si>
  <si>
    <t>The system shall automatically validate all required asset fields before project submission and display a warning message quickly if any required fields are missing, preventing the submission until the missing information is provided.</t>
  </si>
  <si>
    <t>Validation occurs within 1 second</t>
  </si>
  <si>
    <t>Account recovery token delivery and validation flow shall complete quickly</t>
  </si>
  <si>
    <t>Flow shall be complete within 90.00 seconds for 95% of attempts</t>
  </si>
  <si>
    <t>System-generated notifications shall be delivered quickly for events, including invitations, review outcomes, and reminders</t>
  </si>
  <si>
    <t>Delivery time must be less than 30 seconds for 95% of events.</t>
  </si>
  <si>
    <t xml:space="preserve">The system shall dynamically scale its computing resources to handle spikes in activity during peak periods, particularly on project due dates when reviews and feedback are being posted. </t>
  </si>
  <si>
    <t>During stress periods, the system shall support up to 4× the average number of concurrent review and feedback submissions, while maintaining an average response time of  no more than 3 seconds for 95% of requests.</t>
  </si>
  <si>
    <t>Performance</t>
  </si>
  <si>
    <t>Keyword-based project search results shall be returned quickly</t>
  </si>
  <si>
    <t>Results must be returned witthin 2.00 seconds for 95% of queries.</t>
  </si>
  <si>
    <t>Portfolio search and filtering queries shall return quickly</t>
  </si>
  <si>
    <t>Query results return within 2.50 seconds for 95% of requests.</t>
  </si>
  <si>
    <t>12, 51</t>
  </si>
  <si>
    <t>9, 92</t>
  </si>
  <si>
    <t>4, 5</t>
  </si>
  <si>
    <t>6, 9</t>
  </si>
  <si>
    <t>22,92</t>
  </si>
  <si>
    <t>49, 50</t>
  </si>
  <si>
    <t>receive notifications about reviews, responses, direct messages, and upcoming project deadlines</t>
  </si>
  <si>
    <t>receive project invitation 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</si>
</sst>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0"/>
      <color rgb="FF000000"/>
      <name val="Arial"/>
      <scheme val="minor"/>
    </font>
    <font>
      <sz val="14"/>
      <color rgb="FF000000"/>
      <name val="Arial"/>
    </font>
    <font>
      <b/>
      <sz val="14"/>
      <color rgb="FF000000"/>
      <name val="Arial"/>
    </font>
    <font>
      <b/>
      <sz val="10"/>
      <color rgb="FF000000"/>
      <name val="Arial"/>
    </font>
    <font>
      <b/>
      <sz val="12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theme="1"/>
      <name val="Arial"/>
    </font>
    <font>
      <b/>
      <i/>
      <sz val="14"/>
      <color rgb="FFFFFFFF"/>
      <name val="Arial"/>
    </font>
    <font>
      <sz val="10"/>
      <color theme="1"/>
      <name val="Arial"/>
      <family val="2"/>
    </font>
    <font>
      <sz val="20"/>
      <color rgb="FF000000"/>
      <name val="Arial"/>
      <family val="2"/>
    </font>
    <font>
      <sz val="2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Gg mono"/>
    </font>
    <font>
      <sz val="11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6" fillId="0" borderId="0" applyNumberFormat="0" applyFill="0" applyBorder="0" applyAlignment="0" applyProtection="0"/>
    <xf numFmtId="0" fontId="13" fillId="0" borderId="0"/>
  </cellStyleXfs>
  <cellXfs count="75">
    <xf numFmtId="0" fontId="0" fillId="0" borderId="0" xfId="0" applyFont="1" applyAlignment="1"/>
    <xf numFmtId="0" fontId="8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/>
    <xf numFmtId="0" fontId="0" fillId="0" borderId="1" xfId="0" applyFont="1" applyBorder="1" applyAlignment="1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7" fillId="4" borderId="1" xfId="0" applyFont="1" applyFill="1" applyBorder="1" applyAlignment="1">
      <alignment horizontal="center" vertical="center"/>
    </xf>
    <xf numFmtId="0" fontId="0" fillId="0" borderId="0" xfId="0" applyFont="1" applyAlignment="1"/>
    <xf numFmtId="0" fontId="8" fillId="0" borderId="1" xfId="0" applyFont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13" fillId="0" borderId="0" xfId="0" applyFont="1" applyAlignment="1"/>
    <xf numFmtId="0" fontId="8" fillId="5" borderId="2" xfId="0" applyFont="1" applyFill="1" applyBorder="1" applyAlignment="1">
      <alignment horizontal="center" vertical="center"/>
    </xf>
    <xf numFmtId="0" fontId="16" fillId="0" borderId="1" xfId="1" applyBorder="1" applyAlignment="1"/>
    <xf numFmtId="0" fontId="17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3" fillId="0" borderId="1" xfId="0" applyFont="1" applyBorder="1" applyAlignment="1"/>
    <xf numFmtId="0" fontId="18" fillId="2" borderId="1" xfId="0" applyFont="1" applyFill="1" applyBorder="1"/>
    <xf numFmtId="0" fontId="16" fillId="0" borderId="0" xfId="1" applyAlignment="1"/>
    <xf numFmtId="0" fontId="4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7" fillId="2" borderId="1" xfId="2" applyFont="1" applyFill="1" applyBorder="1" applyAlignment="1">
      <alignment horizontal="center" vertical="center"/>
    </xf>
    <xf numFmtId="0" fontId="10" fillId="0" borderId="1" xfId="2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0" fillId="0" borderId="0" xfId="0" applyFont="1" applyAlignment="1">
      <alignment horizontal="left" wrapText="1"/>
    </xf>
    <xf numFmtId="0" fontId="7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vertical="top"/>
    </xf>
    <xf numFmtId="0" fontId="10" fillId="0" borderId="1" xfId="0" applyFont="1" applyBorder="1" applyAlignment="1">
      <alignment vertical="top"/>
    </xf>
    <xf numFmtId="0" fontId="10" fillId="0" borderId="1" xfId="2" applyFont="1" applyBorder="1" applyAlignment="1">
      <alignment vertical="top"/>
    </xf>
    <xf numFmtId="0" fontId="13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14" fillId="0" borderId="1" xfId="0" applyFont="1" applyBorder="1" applyAlignment="1">
      <alignment horizontal="left" wrapText="1"/>
    </xf>
    <xf numFmtId="0" fontId="13" fillId="0" borderId="1" xfId="2" applyFont="1" applyBorder="1" applyAlignment="1">
      <alignment horizontal="center" vertical="center"/>
    </xf>
    <xf numFmtId="0" fontId="15" fillId="0" borderId="1" xfId="0" applyFont="1" applyBorder="1" applyAlignment="1">
      <alignment wrapText="1"/>
    </xf>
    <xf numFmtId="0" fontId="14" fillId="0" borderId="1" xfId="0" applyFont="1" applyFill="1" applyBorder="1" applyAlignment="1">
      <alignment horizontal="left" wrapText="1"/>
    </xf>
    <xf numFmtId="0" fontId="10" fillId="0" borderId="1" xfId="0" applyFont="1" applyFill="1" applyBorder="1" applyAlignment="1">
      <alignment vertical="top"/>
    </xf>
    <xf numFmtId="0" fontId="13" fillId="0" borderId="1" xfId="0" applyFont="1" applyBorder="1" applyAlignment="1">
      <alignment horizontal="left" wrapText="1"/>
    </xf>
    <xf numFmtId="0" fontId="0" fillId="0" borderId="1" xfId="0" applyFont="1" applyBorder="1" applyAlignment="1">
      <alignment horizontal="left" wrapText="1"/>
    </xf>
    <xf numFmtId="0" fontId="0" fillId="0" borderId="0" xfId="0" applyFont="1" applyBorder="1" applyAlignment="1"/>
    <xf numFmtId="0" fontId="17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7" fillId="2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7" fillId="2" borderId="3" xfId="0" applyFont="1" applyFill="1" applyBorder="1" applyAlignment="1">
      <alignment vertical="top"/>
    </xf>
    <xf numFmtId="0" fontId="13" fillId="0" borderId="3" xfId="0" applyFont="1" applyBorder="1" applyAlignment="1"/>
    <xf numFmtId="0" fontId="7" fillId="2" borderId="3" xfId="0" applyFont="1" applyFill="1" applyBorder="1" applyAlignment="1">
      <alignment horizontal="left" vertical="center"/>
    </xf>
    <xf numFmtId="0" fontId="0" fillId="0" borderId="3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0" fillId="0" borderId="0" xfId="0" applyFont="1" applyBorder="1" applyAlignment="1">
      <alignment horizontal="left" wrapText="1"/>
    </xf>
    <xf numFmtId="0" fontId="13" fillId="0" borderId="0" xfId="0" applyFont="1" applyFill="1" applyAlignment="1"/>
    <xf numFmtId="0" fontId="17" fillId="0" borderId="3" xfId="0" applyFont="1" applyFill="1" applyBorder="1" applyAlignment="1">
      <alignment vertical="top"/>
    </xf>
    <xf numFmtId="0" fontId="8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center"/>
    </xf>
    <xf numFmtId="0" fontId="12" fillId="0" borderId="0" xfId="0" applyFont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top" wrapText="1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i.elfarargy@student.guc.edu.eg" TargetMode="External"/><Relationship Id="rId2" Type="http://schemas.openxmlformats.org/officeDocument/2006/relationships/hyperlink" Target="mailto:farida.ayman@student.guc.edu.eg" TargetMode="External"/><Relationship Id="rId1" Type="http://schemas.openxmlformats.org/officeDocument/2006/relationships/hyperlink" Target="mailto:jana.hazem@student.guc.edu.eg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Tawfic.kobtan@student.guc.edu.e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998"/>
  <sheetViews>
    <sheetView workbookViewId="0">
      <selection activeCell="A14" sqref="A14"/>
    </sheetView>
  </sheetViews>
  <sheetFormatPr defaultColWidth="12.5703125" defaultRowHeight="15" customHeight="1"/>
  <cols>
    <col min="1" max="1" width="25.28515625" customWidth="1"/>
    <col min="3" max="3" width="46.85546875" customWidth="1"/>
  </cols>
  <sheetData>
    <row r="1" spans="1:4" ht="54.75" customHeight="1">
      <c r="A1" s="67" t="s">
        <v>0</v>
      </c>
      <c r="B1" s="68"/>
      <c r="C1" s="68"/>
      <c r="D1" s="68"/>
    </row>
    <row r="2" spans="1:4" ht="15.75" customHeight="1">
      <c r="A2" s="69" t="s">
        <v>102</v>
      </c>
      <c r="B2" s="70"/>
      <c r="C2" s="70"/>
      <c r="D2" s="70"/>
    </row>
    <row r="3" spans="1:4" ht="15.75" customHeight="1">
      <c r="A3" s="70"/>
      <c r="B3" s="70"/>
      <c r="C3" s="70"/>
      <c r="D3" s="70"/>
    </row>
    <row r="4" spans="1:4" ht="15.75" customHeight="1">
      <c r="A4" s="70"/>
      <c r="B4" s="70"/>
      <c r="C4" s="70"/>
      <c r="D4" s="70"/>
    </row>
    <row r="5" spans="1:4" ht="15.75" customHeight="1">
      <c r="A5" s="71" t="s">
        <v>17</v>
      </c>
      <c r="B5" s="72"/>
      <c r="C5" s="72"/>
      <c r="D5" s="72"/>
    </row>
    <row r="6" spans="1:4" ht="15.75" customHeight="1">
      <c r="A6" s="3" t="s">
        <v>1</v>
      </c>
      <c r="B6" s="3" t="s">
        <v>2</v>
      </c>
      <c r="C6" s="3" t="s">
        <v>3</v>
      </c>
      <c r="D6" s="3" t="s">
        <v>4</v>
      </c>
    </row>
    <row r="7" spans="1:4" ht="15.75" customHeight="1">
      <c r="A7" s="4" t="s">
        <v>103</v>
      </c>
      <c r="B7" s="5" t="s">
        <v>105</v>
      </c>
      <c r="C7" s="21" t="s">
        <v>106</v>
      </c>
      <c r="D7" s="5">
        <v>27</v>
      </c>
    </row>
    <row r="8" spans="1:4" ht="15.75" customHeight="1">
      <c r="A8" s="4" t="s">
        <v>104</v>
      </c>
      <c r="B8" s="5" t="s">
        <v>108</v>
      </c>
      <c r="C8" s="21" t="s">
        <v>107</v>
      </c>
      <c r="D8" s="5">
        <v>27</v>
      </c>
    </row>
    <row r="9" spans="1:4" ht="15.75" customHeight="1">
      <c r="A9" s="25" t="s">
        <v>335</v>
      </c>
      <c r="B9" s="24" t="s">
        <v>125</v>
      </c>
      <c r="C9" s="21" t="s">
        <v>126</v>
      </c>
      <c r="D9" s="5">
        <v>15</v>
      </c>
    </row>
    <row r="10" spans="1:4" ht="15.75" customHeight="1">
      <c r="A10" s="25" t="s">
        <v>127</v>
      </c>
      <c r="B10" s="5" t="s">
        <v>128</v>
      </c>
      <c r="C10" s="26" t="s">
        <v>129</v>
      </c>
      <c r="D10" s="5">
        <v>21</v>
      </c>
    </row>
    <row r="11" spans="1:4" ht="15.75" customHeight="1">
      <c r="A11" s="4"/>
      <c r="B11" s="5"/>
      <c r="C11" s="5"/>
      <c r="D11" s="5"/>
    </row>
    <row r="12" spans="1:4" ht="15.75" customHeight="1">
      <c r="A12" s="4"/>
      <c r="B12" s="5"/>
      <c r="C12" s="5"/>
      <c r="D12" s="5"/>
    </row>
    <row r="13" spans="1:4" ht="15.75" customHeight="1"/>
    <row r="14" spans="1:4" ht="15.75" customHeight="1"/>
    <row r="15" spans="1:4" ht="15.75" customHeight="1"/>
    <row r="16" spans="1: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">
    <mergeCell ref="A1:D1"/>
    <mergeCell ref="A2:D4"/>
    <mergeCell ref="A5:D5"/>
  </mergeCells>
  <hyperlinks>
    <hyperlink ref="C7" r:id="rId1"/>
    <hyperlink ref="C8" r:id="rId2"/>
    <hyperlink ref="C9" r:id="rId3"/>
    <hyperlink ref="C10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03"/>
  <sheetViews>
    <sheetView tabSelected="1" topLeftCell="C9" zoomScale="85" zoomScaleNormal="85" workbookViewId="0">
      <selection activeCell="F24" sqref="F24"/>
    </sheetView>
  </sheetViews>
  <sheetFormatPr defaultColWidth="12.5703125" defaultRowHeight="15" customHeight="1"/>
  <cols>
    <col min="1" max="1" width="31.5703125" bestFit="1" customWidth="1"/>
    <col min="2" max="2" width="28" bestFit="1" customWidth="1"/>
    <col min="3" max="3" width="17" bestFit="1" customWidth="1"/>
    <col min="4" max="4" width="41.28515625" bestFit="1" customWidth="1"/>
    <col min="5" max="5" width="137.28515625" bestFit="1" customWidth="1"/>
    <col min="6" max="6" width="131.85546875" bestFit="1" customWidth="1"/>
    <col min="7" max="7" width="255.5703125" style="34" bestFit="1" customWidth="1"/>
    <col min="9" max="9" width="92.140625" bestFit="1" customWidth="1"/>
  </cols>
  <sheetData>
    <row r="1" spans="1:9" ht="15.75" customHeight="1">
      <c r="A1" s="6" t="s">
        <v>5</v>
      </c>
      <c r="B1" s="6" t="s">
        <v>6</v>
      </c>
      <c r="C1" s="6" t="s">
        <v>7</v>
      </c>
      <c r="D1" s="6"/>
      <c r="E1" s="6" t="s">
        <v>8</v>
      </c>
      <c r="F1" s="6"/>
      <c r="G1" s="27" t="s">
        <v>9</v>
      </c>
      <c r="H1" s="16"/>
      <c r="I1" s="16"/>
    </row>
    <row r="2" spans="1:9" ht="30" customHeight="1">
      <c r="A2" s="7"/>
      <c r="B2" s="7"/>
      <c r="C2" s="7"/>
      <c r="D2" s="8" t="s">
        <v>10</v>
      </c>
      <c r="E2" s="8" t="s">
        <v>11</v>
      </c>
      <c r="F2" s="8" t="s">
        <v>12</v>
      </c>
      <c r="G2" s="31"/>
      <c r="H2" s="16"/>
      <c r="I2" s="16"/>
    </row>
    <row r="3" spans="1:9" s="14" customFormat="1" ht="44.25" customHeight="1">
      <c r="A3" s="15" t="s">
        <v>84</v>
      </c>
      <c r="B3" s="13" t="s">
        <v>13</v>
      </c>
      <c r="C3" s="13">
        <v>1</v>
      </c>
      <c r="D3" s="53" t="s">
        <v>18</v>
      </c>
      <c r="E3" s="17" t="s">
        <v>20</v>
      </c>
      <c r="F3" s="17" t="s">
        <v>19</v>
      </c>
      <c r="G3" s="32" t="s">
        <v>57</v>
      </c>
      <c r="I3" s="20"/>
    </row>
    <row r="4" spans="1:9" s="14" customFormat="1" ht="15.75" customHeight="1">
      <c r="A4" s="15" t="s">
        <v>84</v>
      </c>
      <c r="B4" s="15">
        <v>1</v>
      </c>
      <c r="C4" s="15">
        <f t="shared" ref="C4:C35" si="0">C3+1</f>
        <v>2</v>
      </c>
      <c r="D4" s="18" t="s">
        <v>18</v>
      </c>
      <c r="E4" s="17" t="s">
        <v>58</v>
      </c>
      <c r="F4" s="17" t="s">
        <v>21</v>
      </c>
      <c r="G4" s="32"/>
    </row>
    <row r="5" spans="1:9" ht="15.75" customHeight="1">
      <c r="A5" s="15" t="s">
        <v>84</v>
      </c>
      <c r="B5" s="15">
        <v>1</v>
      </c>
      <c r="C5" s="15">
        <f t="shared" si="0"/>
        <v>3</v>
      </c>
      <c r="D5" s="10" t="s">
        <v>18</v>
      </c>
      <c r="E5" s="17" t="s">
        <v>66</v>
      </c>
      <c r="F5" s="17" t="s">
        <v>67</v>
      </c>
      <c r="G5" s="32" t="s">
        <v>68</v>
      </c>
      <c r="I5" s="48"/>
    </row>
    <row r="6" spans="1:9" ht="15.75" customHeight="1">
      <c r="A6" s="15" t="s">
        <v>84</v>
      </c>
      <c r="B6" s="15">
        <v>1</v>
      </c>
      <c r="C6" s="15">
        <f t="shared" si="0"/>
        <v>4</v>
      </c>
      <c r="D6" s="10" t="s">
        <v>18</v>
      </c>
      <c r="E6" s="17" t="s">
        <v>59</v>
      </c>
      <c r="F6" s="17" t="s">
        <v>22</v>
      </c>
      <c r="G6" s="32"/>
    </row>
    <row r="7" spans="1:9" ht="15.75" customHeight="1">
      <c r="A7" s="15" t="s">
        <v>84</v>
      </c>
      <c r="B7" s="15">
        <v>3</v>
      </c>
      <c r="C7" s="15">
        <f t="shared" si="0"/>
        <v>5</v>
      </c>
      <c r="D7" s="10" t="s">
        <v>18</v>
      </c>
      <c r="E7" s="23" t="s">
        <v>245</v>
      </c>
      <c r="F7" s="66" t="s">
        <v>314</v>
      </c>
      <c r="G7" s="32"/>
    </row>
    <row r="8" spans="1:9" ht="15.75" customHeight="1">
      <c r="A8" s="15" t="s">
        <v>84</v>
      </c>
      <c r="B8" s="15">
        <v>3</v>
      </c>
      <c r="C8" s="15">
        <f t="shared" si="0"/>
        <v>6</v>
      </c>
      <c r="D8" s="10" t="s">
        <v>82</v>
      </c>
      <c r="E8" s="23" t="s">
        <v>288</v>
      </c>
      <c r="F8" s="17" t="s">
        <v>25</v>
      </c>
      <c r="G8" s="33" t="s">
        <v>123</v>
      </c>
    </row>
    <row r="9" spans="1:9" ht="15.75" customHeight="1">
      <c r="A9" s="15" t="s">
        <v>85</v>
      </c>
      <c r="B9" s="15">
        <v>3</v>
      </c>
      <c r="C9" s="15">
        <f t="shared" si="0"/>
        <v>7</v>
      </c>
      <c r="D9" s="10" t="s">
        <v>23</v>
      </c>
      <c r="E9" s="23" t="s">
        <v>289</v>
      </c>
      <c r="F9" s="17" t="s">
        <v>60</v>
      </c>
      <c r="G9" s="32"/>
    </row>
    <row r="10" spans="1:9" ht="15.75" customHeight="1">
      <c r="A10" s="15" t="s">
        <v>85</v>
      </c>
      <c r="B10" s="15">
        <v>7</v>
      </c>
      <c r="C10" s="15">
        <f t="shared" si="0"/>
        <v>8</v>
      </c>
      <c r="D10" s="10" t="s">
        <v>23</v>
      </c>
      <c r="E10" s="17" t="s">
        <v>30</v>
      </c>
      <c r="F10" s="17" t="s">
        <v>26</v>
      </c>
      <c r="G10" s="32" t="s">
        <v>197</v>
      </c>
    </row>
    <row r="11" spans="1:9" ht="15.75" customHeight="1">
      <c r="A11" s="15" t="s">
        <v>85</v>
      </c>
      <c r="B11" s="49" t="s">
        <v>326</v>
      </c>
      <c r="C11" s="15">
        <f t="shared" si="0"/>
        <v>9</v>
      </c>
      <c r="D11" s="10" t="s">
        <v>24</v>
      </c>
      <c r="E11" s="65" t="s">
        <v>305</v>
      </c>
      <c r="F11" s="17" t="s">
        <v>69</v>
      </c>
      <c r="G11" s="32" t="s">
        <v>80</v>
      </c>
    </row>
    <row r="12" spans="1:9" ht="15.75" customHeight="1">
      <c r="A12" s="15" t="s">
        <v>85</v>
      </c>
      <c r="B12" s="15">
        <v>9</v>
      </c>
      <c r="C12" s="15">
        <f t="shared" si="0"/>
        <v>10</v>
      </c>
      <c r="D12" s="10" t="s">
        <v>24</v>
      </c>
      <c r="E12" s="23" t="s">
        <v>270</v>
      </c>
      <c r="F12" s="17" t="s">
        <v>99</v>
      </c>
      <c r="G12" s="32"/>
    </row>
    <row r="13" spans="1:9" ht="15.75" customHeight="1">
      <c r="A13" s="15" t="s">
        <v>85</v>
      </c>
      <c r="B13" s="15">
        <v>10</v>
      </c>
      <c r="C13" s="15">
        <f t="shared" si="0"/>
        <v>11</v>
      </c>
      <c r="D13" s="10" t="s">
        <v>24</v>
      </c>
      <c r="E13" s="17" t="s">
        <v>27</v>
      </c>
      <c r="F13" s="17" t="s">
        <v>28</v>
      </c>
      <c r="G13" s="32"/>
    </row>
    <row r="14" spans="1:9" ht="33.75" customHeight="1">
      <c r="A14" s="15" t="s">
        <v>85</v>
      </c>
      <c r="B14" s="15">
        <v>9</v>
      </c>
      <c r="C14" s="15">
        <f t="shared" si="0"/>
        <v>12</v>
      </c>
      <c r="D14" s="10" t="s">
        <v>82</v>
      </c>
      <c r="E14" s="17" t="s">
        <v>112</v>
      </c>
      <c r="F14" s="17" t="s">
        <v>113</v>
      </c>
      <c r="G14" s="32" t="s">
        <v>114</v>
      </c>
    </row>
    <row r="15" spans="1:9" ht="15.75" customHeight="1">
      <c r="A15" s="15" t="s">
        <v>84</v>
      </c>
      <c r="B15" s="15">
        <v>6</v>
      </c>
      <c r="C15" s="15">
        <f t="shared" si="0"/>
        <v>13</v>
      </c>
      <c r="D15" s="10" t="s">
        <v>23</v>
      </c>
      <c r="E15" s="17" t="s">
        <v>193</v>
      </c>
      <c r="F15" s="17" t="s">
        <v>62</v>
      </c>
      <c r="G15" s="32"/>
      <c r="I15" s="14"/>
    </row>
    <row r="16" spans="1:9" ht="15.75" customHeight="1">
      <c r="A16" s="15" t="s">
        <v>84</v>
      </c>
      <c r="B16" s="15">
        <v>1</v>
      </c>
      <c r="C16" s="15">
        <f t="shared" si="0"/>
        <v>14</v>
      </c>
      <c r="D16" s="10" t="s">
        <v>23</v>
      </c>
      <c r="E16" s="39" t="s">
        <v>31</v>
      </c>
      <c r="F16" s="39" t="s">
        <v>32</v>
      </c>
      <c r="G16" s="46"/>
    </row>
    <row r="17" spans="1:7" ht="15.75" customHeight="1">
      <c r="A17" s="15" t="s">
        <v>84</v>
      </c>
      <c r="B17" s="15">
        <v>3</v>
      </c>
      <c r="C17" s="15">
        <f t="shared" si="0"/>
        <v>15</v>
      </c>
      <c r="D17" s="10" t="s">
        <v>18</v>
      </c>
      <c r="E17" s="39" t="s">
        <v>63</v>
      </c>
      <c r="F17" s="39" t="s">
        <v>64</v>
      </c>
      <c r="G17" s="46"/>
    </row>
    <row r="18" spans="1:7" ht="15.75" customHeight="1">
      <c r="A18" s="15" t="s">
        <v>84</v>
      </c>
      <c r="B18" s="15">
        <v>6</v>
      </c>
      <c r="C18" s="15">
        <f t="shared" si="0"/>
        <v>16</v>
      </c>
      <c r="D18" s="10" t="s">
        <v>70</v>
      </c>
      <c r="E18" s="39" t="s">
        <v>33</v>
      </c>
      <c r="F18" s="39" t="s">
        <v>34</v>
      </c>
      <c r="G18" s="46" t="s">
        <v>194</v>
      </c>
    </row>
    <row r="19" spans="1:7" ht="15.75" customHeight="1">
      <c r="A19" s="15" t="s">
        <v>85</v>
      </c>
      <c r="B19" s="15">
        <v>9</v>
      </c>
      <c r="C19" s="15">
        <f t="shared" si="0"/>
        <v>17</v>
      </c>
      <c r="D19" s="10" t="s">
        <v>24</v>
      </c>
      <c r="E19" s="39" t="s">
        <v>65</v>
      </c>
      <c r="F19" s="39" t="s">
        <v>35</v>
      </c>
      <c r="G19" s="46"/>
    </row>
    <row r="20" spans="1:7" ht="15.75" customHeight="1">
      <c r="A20" s="15" t="s">
        <v>85</v>
      </c>
      <c r="B20" s="15">
        <v>10</v>
      </c>
      <c r="C20" s="15">
        <f t="shared" si="0"/>
        <v>18</v>
      </c>
      <c r="D20" s="10" t="s">
        <v>74</v>
      </c>
      <c r="E20" s="39" t="s">
        <v>360</v>
      </c>
      <c r="F20" s="39" t="s">
        <v>36</v>
      </c>
      <c r="G20" s="46"/>
    </row>
    <row r="21" spans="1:7" ht="15.75" customHeight="1">
      <c r="A21" s="15" t="s">
        <v>85</v>
      </c>
      <c r="B21" s="15">
        <v>10</v>
      </c>
      <c r="C21" s="15">
        <f t="shared" si="0"/>
        <v>19</v>
      </c>
      <c r="D21" s="10" t="s">
        <v>24</v>
      </c>
      <c r="E21" s="39" t="s">
        <v>37</v>
      </c>
      <c r="F21" s="39" t="s">
        <v>38</v>
      </c>
      <c r="G21" s="46" t="s">
        <v>81</v>
      </c>
    </row>
    <row r="22" spans="1:7" ht="15.75" customHeight="1">
      <c r="A22" s="15" t="s">
        <v>85</v>
      </c>
      <c r="B22" s="15">
        <v>19</v>
      </c>
      <c r="C22" s="15">
        <f t="shared" si="0"/>
        <v>20</v>
      </c>
      <c r="D22" s="10" t="s">
        <v>18</v>
      </c>
      <c r="E22" s="39" t="s">
        <v>213</v>
      </c>
      <c r="F22" s="39" t="s">
        <v>39</v>
      </c>
      <c r="G22" s="46"/>
    </row>
    <row r="23" spans="1:7" ht="15.75" customHeight="1">
      <c r="A23" s="15" t="s">
        <v>85</v>
      </c>
      <c r="B23" s="15">
        <v>9</v>
      </c>
      <c r="C23" s="15">
        <f t="shared" si="0"/>
        <v>21</v>
      </c>
      <c r="D23" s="10" t="s">
        <v>24</v>
      </c>
      <c r="E23" s="39" t="s">
        <v>40</v>
      </c>
      <c r="F23" s="39" t="s">
        <v>41</v>
      </c>
      <c r="G23" s="46"/>
    </row>
    <row r="24" spans="1:7" ht="15.75" customHeight="1">
      <c r="A24" s="15" t="s">
        <v>85</v>
      </c>
      <c r="B24" s="49" t="s">
        <v>327</v>
      </c>
      <c r="C24" s="15">
        <f t="shared" si="0"/>
        <v>22</v>
      </c>
      <c r="D24" s="10" t="s">
        <v>76</v>
      </c>
      <c r="E24" s="39" t="s">
        <v>137</v>
      </c>
      <c r="F24" s="39" t="s">
        <v>42</v>
      </c>
      <c r="G24" s="46" t="s">
        <v>43</v>
      </c>
    </row>
    <row r="25" spans="1:7" ht="15.75" customHeight="1">
      <c r="A25" s="15" t="s">
        <v>85</v>
      </c>
      <c r="B25" s="49" t="s">
        <v>325</v>
      </c>
      <c r="C25" s="15">
        <f t="shared" si="0"/>
        <v>23</v>
      </c>
      <c r="D25" s="10" t="s">
        <v>196</v>
      </c>
      <c r="E25" s="39" t="s">
        <v>198</v>
      </c>
      <c r="F25" s="39" t="s">
        <v>44</v>
      </c>
      <c r="G25" s="46" t="s">
        <v>195</v>
      </c>
    </row>
    <row r="26" spans="1:7" ht="15.75" customHeight="1">
      <c r="A26" s="15" t="s">
        <v>85</v>
      </c>
      <c r="B26" s="49" t="s">
        <v>324</v>
      </c>
      <c r="C26" s="15">
        <f t="shared" si="0"/>
        <v>24</v>
      </c>
      <c r="D26" s="10" t="s">
        <v>24</v>
      </c>
      <c r="E26" s="39" t="s">
        <v>45</v>
      </c>
      <c r="F26" s="39" t="s">
        <v>46</v>
      </c>
      <c r="G26" s="46"/>
    </row>
    <row r="27" spans="1:7" ht="15.75" customHeight="1">
      <c r="A27" s="15" t="s">
        <v>85</v>
      </c>
      <c r="B27" s="15">
        <v>6</v>
      </c>
      <c r="C27" s="15">
        <f t="shared" si="0"/>
        <v>25</v>
      </c>
      <c r="D27" s="10" t="s">
        <v>24</v>
      </c>
      <c r="E27" s="40" t="s">
        <v>47</v>
      </c>
      <c r="F27" s="40" t="s">
        <v>48</v>
      </c>
      <c r="G27" s="46"/>
    </row>
    <row r="28" spans="1:7" ht="15.75" customHeight="1">
      <c r="A28" s="15" t="s">
        <v>84</v>
      </c>
      <c r="B28" s="15">
        <v>6</v>
      </c>
      <c r="C28" s="15">
        <f t="shared" si="0"/>
        <v>26</v>
      </c>
      <c r="D28" s="10" t="s">
        <v>24</v>
      </c>
      <c r="E28" s="39" t="s">
        <v>77</v>
      </c>
      <c r="F28" s="39" t="s">
        <v>49</v>
      </c>
      <c r="G28" s="46" t="s">
        <v>78</v>
      </c>
    </row>
    <row r="29" spans="1:7" ht="15.75" customHeight="1">
      <c r="A29" s="15" t="s">
        <v>85</v>
      </c>
      <c r="B29" s="15">
        <v>92</v>
      </c>
      <c r="C29" s="15">
        <f t="shared" si="0"/>
        <v>27</v>
      </c>
      <c r="D29" s="10" t="s">
        <v>83</v>
      </c>
      <c r="E29" s="39" t="s">
        <v>50</v>
      </c>
      <c r="F29" s="39" t="s">
        <v>51</v>
      </c>
      <c r="G29" s="46" t="s">
        <v>52</v>
      </c>
    </row>
    <row r="30" spans="1:7" ht="15.75" customHeight="1">
      <c r="A30" s="15" t="s">
        <v>85</v>
      </c>
      <c r="B30" s="15">
        <v>8</v>
      </c>
      <c r="C30" s="15">
        <f t="shared" si="0"/>
        <v>28</v>
      </c>
      <c r="D30" s="10" t="s">
        <v>83</v>
      </c>
      <c r="E30" s="41" t="s">
        <v>53</v>
      </c>
      <c r="F30" s="43" t="s">
        <v>54</v>
      </c>
      <c r="G30" s="46"/>
    </row>
    <row r="31" spans="1:7" ht="15.75" customHeight="1">
      <c r="A31" s="15" t="s">
        <v>85</v>
      </c>
      <c r="B31" s="15">
        <v>10</v>
      </c>
      <c r="C31" s="15">
        <f t="shared" si="0"/>
        <v>29</v>
      </c>
      <c r="D31" s="10" t="s">
        <v>24</v>
      </c>
      <c r="E31" s="41" t="s">
        <v>55</v>
      </c>
      <c r="F31" s="41" t="s">
        <v>56</v>
      </c>
      <c r="G31" s="46"/>
    </row>
    <row r="32" spans="1:7" ht="15.75" customHeight="1">
      <c r="A32" s="15" t="s">
        <v>84</v>
      </c>
      <c r="B32" s="15">
        <v>13</v>
      </c>
      <c r="C32" s="15">
        <f t="shared" si="0"/>
        <v>30</v>
      </c>
      <c r="D32" s="10" t="s">
        <v>23</v>
      </c>
      <c r="E32" s="17" t="s">
        <v>61</v>
      </c>
      <c r="F32" s="44" t="s">
        <v>29</v>
      </c>
      <c r="G32" s="46"/>
    </row>
    <row r="33" spans="1:7" ht="15.75" customHeight="1">
      <c r="A33" s="15" t="s">
        <v>85</v>
      </c>
      <c r="B33" s="15">
        <v>12</v>
      </c>
      <c r="C33" s="15">
        <f t="shared" si="0"/>
        <v>31</v>
      </c>
      <c r="D33" s="10" t="s">
        <v>70</v>
      </c>
      <c r="E33" s="17" t="s">
        <v>71</v>
      </c>
      <c r="F33" s="17" t="s">
        <v>72</v>
      </c>
      <c r="G33" s="32" t="s">
        <v>73</v>
      </c>
    </row>
    <row r="34" spans="1:7" ht="15.75" customHeight="1">
      <c r="A34" s="15" t="s">
        <v>85</v>
      </c>
      <c r="B34" s="15">
        <v>9</v>
      </c>
      <c r="C34" s="15">
        <f t="shared" si="0"/>
        <v>32</v>
      </c>
      <c r="D34" s="9" t="s">
        <v>74</v>
      </c>
      <c r="E34" s="17" t="s">
        <v>79</v>
      </c>
      <c r="F34" s="17" t="s">
        <v>75</v>
      </c>
      <c r="G34" s="32"/>
    </row>
    <row r="35" spans="1:7" ht="15.75" customHeight="1">
      <c r="A35" s="15" t="s">
        <v>85</v>
      </c>
      <c r="B35" s="49" t="s">
        <v>329</v>
      </c>
      <c r="C35" s="15">
        <f t="shared" si="0"/>
        <v>33</v>
      </c>
      <c r="D35" s="9" t="s">
        <v>24</v>
      </c>
      <c r="E35" s="17" t="s">
        <v>86</v>
      </c>
      <c r="F35" s="17" t="s">
        <v>87</v>
      </c>
      <c r="G35" s="32"/>
    </row>
    <row r="36" spans="1:7" ht="15.75" customHeight="1">
      <c r="A36" s="15" t="s">
        <v>85</v>
      </c>
      <c r="B36" s="15">
        <v>33</v>
      </c>
      <c r="C36" s="15">
        <f t="shared" ref="C36:C69" si="1">C35+1</f>
        <v>34</v>
      </c>
      <c r="D36" s="9" t="s">
        <v>116</v>
      </c>
      <c r="E36" s="17" t="s">
        <v>88</v>
      </c>
      <c r="F36" s="17" t="s">
        <v>89</v>
      </c>
      <c r="G36" s="32" t="s">
        <v>117</v>
      </c>
    </row>
    <row r="37" spans="1:7" ht="15.75" customHeight="1">
      <c r="A37" s="15" t="s">
        <v>85</v>
      </c>
      <c r="B37" s="15">
        <v>38</v>
      </c>
      <c r="C37" s="15">
        <f t="shared" si="1"/>
        <v>35</v>
      </c>
      <c r="D37" s="9" t="s">
        <v>82</v>
      </c>
      <c r="E37" s="17" t="s">
        <v>90</v>
      </c>
      <c r="F37" s="17" t="s">
        <v>91</v>
      </c>
      <c r="G37" s="32"/>
    </row>
    <row r="38" spans="1:7" ht="15.75" customHeight="1">
      <c r="A38" s="15" t="s">
        <v>85</v>
      </c>
      <c r="B38" s="15">
        <v>38</v>
      </c>
      <c r="C38" s="15">
        <f t="shared" si="1"/>
        <v>36</v>
      </c>
      <c r="D38" s="9" t="s">
        <v>82</v>
      </c>
      <c r="E38" s="17" t="s">
        <v>92</v>
      </c>
      <c r="F38" s="17" t="s">
        <v>93</v>
      </c>
      <c r="G38" s="32"/>
    </row>
    <row r="39" spans="1:7" ht="15.75" customHeight="1">
      <c r="A39" s="15" t="s">
        <v>85</v>
      </c>
      <c r="B39" s="15">
        <v>34</v>
      </c>
      <c r="C39" s="15">
        <f t="shared" si="1"/>
        <v>37</v>
      </c>
      <c r="D39" s="9" t="s">
        <v>82</v>
      </c>
      <c r="E39" s="17" t="s">
        <v>94</v>
      </c>
      <c r="F39" s="17" t="s">
        <v>95</v>
      </c>
      <c r="G39" s="32"/>
    </row>
    <row r="40" spans="1:7" ht="15.75" customHeight="1">
      <c r="A40" s="15" t="s">
        <v>85</v>
      </c>
      <c r="B40" s="15">
        <v>3</v>
      </c>
      <c r="C40" s="15">
        <f t="shared" si="1"/>
        <v>38</v>
      </c>
      <c r="D40" s="9" t="s">
        <v>82</v>
      </c>
      <c r="E40" s="17" t="s">
        <v>97</v>
      </c>
      <c r="F40" s="17" t="s">
        <v>96</v>
      </c>
      <c r="G40" s="32" t="s">
        <v>98</v>
      </c>
    </row>
    <row r="41" spans="1:7" ht="15.75" customHeight="1">
      <c r="A41" s="15" t="s">
        <v>85</v>
      </c>
      <c r="B41" s="15">
        <v>3</v>
      </c>
      <c r="C41" s="15">
        <f t="shared" si="1"/>
        <v>39</v>
      </c>
      <c r="D41" s="10" t="s">
        <v>18</v>
      </c>
      <c r="E41" s="36" t="s">
        <v>100</v>
      </c>
      <c r="F41" s="24" t="s">
        <v>101</v>
      </c>
      <c r="G41" s="32"/>
    </row>
    <row r="42" spans="1:7" ht="15.75" customHeight="1">
      <c r="A42" s="15" t="s">
        <v>192</v>
      </c>
      <c r="B42" s="15">
        <v>9</v>
      </c>
      <c r="C42" s="15">
        <f t="shared" si="1"/>
        <v>40</v>
      </c>
      <c r="D42" s="9" t="s">
        <v>82</v>
      </c>
      <c r="E42" s="37" t="s">
        <v>236</v>
      </c>
      <c r="F42" s="23" t="s">
        <v>237</v>
      </c>
      <c r="G42" s="32" t="s">
        <v>109</v>
      </c>
    </row>
    <row r="43" spans="1:7" ht="15.75" customHeight="1">
      <c r="A43" s="15" t="s">
        <v>192</v>
      </c>
      <c r="B43" s="49" t="s">
        <v>330</v>
      </c>
      <c r="C43" s="15">
        <f t="shared" si="1"/>
        <v>41</v>
      </c>
      <c r="D43" s="10" t="s">
        <v>115</v>
      </c>
      <c r="E43" s="36" t="s">
        <v>110</v>
      </c>
      <c r="F43" s="17" t="s">
        <v>111</v>
      </c>
      <c r="G43" s="50" t="s">
        <v>212</v>
      </c>
    </row>
    <row r="44" spans="1:7" ht="15.75" customHeight="1">
      <c r="A44" s="15" t="s">
        <v>85</v>
      </c>
      <c r="B44" s="15">
        <v>38</v>
      </c>
      <c r="C44" s="15">
        <f t="shared" si="1"/>
        <v>42</v>
      </c>
      <c r="D44" s="12" t="s">
        <v>115</v>
      </c>
      <c r="E44" s="36" t="s">
        <v>118</v>
      </c>
      <c r="F44" s="36" t="s">
        <v>119</v>
      </c>
      <c r="G44" s="32"/>
    </row>
    <row r="45" spans="1:7" ht="15.75" customHeight="1">
      <c r="A45" s="15" t="s">
        <v>85</v>
      </c>
      <c r="B45" s="49" t="s">
        <v>331</v>
      </c>
      <c r="C45" s="15">
        <f t="shared" si="1"/>
        <v>43</v>
      </c>
      <c r="D45" s="22" t="s">
        <v>120</v>
      </c>
      <c r="E45" s="37" t="s">
        <v>328</v>
      </c>
      <c r="F45" s="45" t="s">
        <v>301</v>
      </c>
      <c r="G45" s="33" t="s">
        <v>124</v>
      </c>
    </row>
    <row r="46" spans="1:7" ht="15.75" customHeight="1">
      <c r="A46" s="15" t="s">
        <v>192</v>
      </c>
      <c r="B46" s="15">
        <v>60</v>
      </c>
      <c r="C46" s="15">
        <f t="shared" si="1"/>
        <v>44</v>
      </c>
      <c r="D46" s="22" t="s">
        <v>82</v>
      </c>
      <c r="E46" s="37" t="s">
        <v>121</v>
      </c>
      <c r="F46" s="45" t="s">
        <v>133</v>
      </c>
      <c r="G46" s="23" t="s">
        <v>122</v>
      </c>
    </row>
    <row r="47" spans="1:7" ht="15.75" customHeight="1">
      <c r="A47" s="15" t="s">
        <v>85</v>
      </c>
      <c r="B47" s="15">
        <v>9</v>
      </c>
      <c r="C47" s="15">
        <f t="shared" si="1"/>
        <v>45</v>
      </c>
      <c r="D47" s="22" t="s">
        <v>130</v>
      </c>
      <c r="E47" s="37" t="s">
        <v>313</v>
      </c>
      <c r="F47" s="37" t="s">
        <v>131</v>
      </c>
      <c r="G47" s="33" t="s">
        <v>132</v>
      </c>
    </row>
    <row r="48" spans="1:7" ht="15.75" customHeight="1">
      <c r="A48" s="15" t="s">
        <v>85</v>
      </c>
      <c r="B48" s="15">
        <v>45</v>
      </c>
      <c r="C48" s="15">
        <f t="shared" si="1"/>
        <v>46</v>
      </c>
      <c r="D48" s="22" t="s">
        <v>24</v>
      </c>
      <c r="E48" s="37" t="s">
        <v>134</v>
      </c>
      <c r="F48" s="37" t="s">
        <v>135</v>
      </c>
      <c r="G48" s="32"/>
    </row>
    <row r="49" spans="1:9" ht="15.75" customHeight="1">
      <c r="A49" s="15" t="s">
        <v>85</v>
      </c>
      <c r="B49" s="15">
        <v>46</v>
      </c>
      <c r="C49" s="15">
        <f t="shared" si="1"/>
        <v>47</v>
      </c>
      <c r="D49" s="22" t="s">
        <v>24</v>
      </c>
      <c r="E49" s="37" t="s">
        <v>138</v>
      </c>
      <c r="F49" s="37" t="s">
        <v>136</v>
      </c>
      <c r="G49" s="47"/>
    </row>
    <row r="50" spans="1:9" ht="15.75" customHeight="1">
      <c r="A50" s="15" t="s">
        <v>85</v>
      </c>
      <c r="B50" s="15">
        <v>92</v>
      </c>
      <c r="C50" s="15">
        <f t="shared" si="1"/>
        <v>48</v>
      </c>
      <c r="D50" s="22" t="s">
        <v>74</v>
      </c>
      <c r="E50" s="37" t="s">
        <v>139</v>
      </c>
      <c r="F50" s="37" t="s">
        <v>140</v>
      </c>
      <c r="G50" s="33" t="s">
        <v>257</v>
      </c>
    </row>
    <row r="51" spans="1:9" ht="15.75" customHeight="1">
      <c r="A51" s="15" t="s">
        <v>192</v>
      </c>
      <c r="B51" s="49" t="s">
        <v>332</v>
      </c>
      <c r="C51" s="15">
        <f t="shared" si="1"/>
        <v>49</v>
      </c>
      <c r="D51" s="42" t="s">
        <v>275</v>
      </c>
      <c r="E51" s="37" t="s">
        <v>276</v>
      </c>
      <c r="F51" s="37" t="s">
        <v>277</v>
      </c>
      <c r="G51" s="30" t="s">
        <v>311</v>
      </c>
      <c r="H51" s="16"/>
      <c r="I51" s="16"/>
    </row>
    <row r="52" spans="1:9" ht="15.75" customHeight="1">
      <c r="A52" s="15" t="s">
        <v>192</v>
      </c>
      <c r="B52" s="15">
        <v>49</v>
      </c>
      <c r="C52" s="15">
        <f t="shared" si="1"/>
        <v>50</v>
      </c>
      <c r="D52" s="42" t="s">
        <v>70</v>
      </c>
      <c r="E52" s="38" t="s">
        <v>269</v>
      </c>
      <c r="F52" s="38" t="s">
        <v>141</v>
      </c>
      <c r="G52" s="30"/>
      <c r="H52" s="16"/>
      <c r="I52" s="16"/>
    </row>
    <row r="53" spans="1:9" ht="15.75" customHeight="1">
      <c r="A53" s="15" t="s">
        <v>85</v>
      </c>
      <c r="B53" s="15">
        <v>92</v>
      </c>
      <c r="C53" s="15">
        <f t="shared" si="1"/>
        <v>51</v>
      </c>
      <c r="D53" s="29" t="s">
        <v>143</v>
      </c>
      <c r="E53" s="38" t="s">
        <v>144</v>
      </c>
      <c r="F53" s="38" t="s">
        <v>145</v>
      </c>
      <c r="G53" s="30" t="s">
        <v>146</v>
      </c>
      <c r="H53" s="16"/>
      <c r="I53" s="16"/>
    </row>
    <row r="54" spans="1:9" ht="15.75" customHeight="1">
      <c r="A54" s="15" t="s">
        <v>85</v>
      </c>
      <c r="B54" s="15">
        <v>12</v>
      </c>
      <c r="C54" s="15">
        <f t="shared" si="1"/>
        <v>52</v>
      </c>
      <c r="D54" s="29" t="s">
        <v>143</v>
      </c>
      <c r="E54" s="38" t="s">
        <v>147</v>
      </c>
      <c r="F54" s="38" t="s">
        <v>148</v>
      </c>
      <c r="G54" s="30"/>
      <c r="H54" s="16"/>
      <c r="I54" s="16"/>
    </row>
    <row r="55" spans="1:9" ht="15.75" customHeight="1">
      <c r="A55" s="15" t="s">
        <v>192</v>
      </c>
      <c r="B55" s="49" t="s">
        <v>333</v>
      </c>
      <c r="C55" s="15">
        <f t="shared" si="1"/>
        <v>53</v>
      </c>
      <c r="D55" s="29" t="s">
        <v>70</v>
      </c>
      <c r="E55" s="38" t="s">
        <v>149</v>
      </c>
      <c r="F55" s="38" t="s">
        <v>150</v>
      </c>
      <c r="G55" s="30"/>
      <c r="H55" s="16"/>
      <c r="I55" s="16"/>
    </row>
    <row r="56" spans="1:9" ht="15.75" customHeight="1">
      <c r="A56" s="15" t="s">
        <v>192</v>
      </c>
      <c r="B56" s="15">
        <v>50</v>
      </c>
      <c r="C56" s="15">
        <f t="shared" si="1"/>
        <v>54</v>
      </c>
      <c r="D56" s="29" t="s">
        <v>18</v>
      </c>
      <c r="E56" s="38" t="s">
        <v>151</v>
      </c>
      <c r="F56" s="38" t="s">
        <v>152</v>
      </c>
      <c r="G56" s="30"/>
      <c r="H56" s="16"/>
      <c r="I56" s="16"/>
    </row>
    <row r="57" spans="1:9" ht="15.75" customHeight="1">
      <c r="A57" s="15" t="s">
        <v>85</v>
      </c>
      <c r="B57" s="49" t="s">
        <v>334</v>
      </c>
      <c r="C57" s="15">
        <f t="shared" si="1"/>
        <v>55</v>
      </c>
      <c r="D57" s="29" t="s">
        <v>115</v>
      </c>
      <c r="E57" s="38" t="s">
        <v>153</v>
      </c>
      <c r="F57" s="38" t="s">
        <v>154</v>
      </c>
      <c r="G57" s="30" t="s">
        <v>155</v>
      </c>
    </row>
    <row r="58" spans="1:9" ht="15.75" customHeight="1">
      <c r="A58" s="15" t="s">
        <v>84</v>
      </c>
      <c r="B58" s="15">
        <v>6</v>
      </c>
      <c r="C58" s="15">
        <f t="shared" si="1"/>
        <v>56</v>
      </c>
      <c r="D58" s="29" t="s">
        <v>82</v>
      </c>
      <c r="E58" s="38" t="s">
        <v>156</v>
      </c>
      <c r="F58" s="38" t="s">
        <v>157</v>
      </c>
      <c r="G58" s="30" t="s">
        <v>158</v>
      </c>
    </row>
    <row r="59" spans="1:9" ht="15.75" customHeight="1">
      <c r="A59" s="15" t="s">
        <v>192</v>
      </c>
      <c r="B59" s="15">
        <v>49</v>
      </c>
      <c r="C59" s="15">
        <f t="shared" si="1"/>
        <v>57</v>
      </c>
      <c r="D59" s="29" t="s">
        <v>18</v>
      </c>
      <c r="E59" s="38" t="s">
        <v>159</v>
      </c>
      <c r="F59" s="38" t="s">
        <v>160</v>
      </c>
      <c r="G59" s="30" t="s">
        <v>161</v>
      </c>
    </row>
    <row r="60" spans="1:9" ht="15.75" customHeight="1">
      <c r="A60" s="15" t="s">
        <v>85</v>
      </c>
      <c r="B60" s="15">
        <v>9</v>
      </c>
      <c r="C60" s="15">
        <f t="shared" si="1"/>
        <v>58</v>
      </c>
      <c r="D60" s="22" t="s">
        <v>83</v>
      </c>
      <c r="E60" s="38" t="s">
        <v>164</v>
      </c>
      <c r="F60" s="38" t="s">
        <v>162</v>
      </c>
      <c r="G60" s="30" t="s">
        <v>163</v>
      </c>
    </row>
    <row r="61" spans="1:9" ht="15.75" customHeight="1">
      <c r="A61" s="15" t="s">
        <v>192</v>
      </c>
      <c r="B61" s="15" t="s">
        <v>322</v>
      </c>
      <c r="C61" s="15">
        <f t="shared" si="1"/>
        <v>59</v>
      </c>
      <c r="D61" s="29" t="s">
        <v>115</v>
      </c>
      <c r="E61" s="38" t="s">
        <v>165</v>
      </c>
      <c r="F61" s="38" t="s">
        <v>166</v>
      </c>
      <c r="G61" s="32" t="s">
        <v>306</v>
      </c>
    </row>
    <row r="62" spans="1:9" ht="15.75" customHeight="1">
      <c r="A62" s="15" t="s">
        <v>192</v>
      </c>
      <c r="B62" s="15">
        <v>49</v>
      </c>
      <c r="C62" s="15">
        <f t="shared" si="1"/>
        <v>60</v>
      </c>
      <c r="D62" s="22" t="s">
        <v>82</v>
      </c>
      <c r="E62" s="37" t="s">
        <v>167</v>
      </c>
      <c r="F62" s="37" t="s">
        <v>168</v>
      </c>
      <c r="G62" s="32"/>
    </row>
    <row r="63" spans="1:9" ht="15.75" customHeight="1">
      <c r="A63" s="15" t="s">
        <v>85</v>
      </c>
      <c r="B63" s="15">
        <v>9</v>
      </c>
      <c r="C63" s="15">
        <f t="shared" si="1"/>
        <v>61</v>
      </c>
      <c r="D63" s="22" t="s">
        <v>74</v>
      </c>
      <c r="E63" s="37" t="s">
        <v>169</v>
      </c>
      <c r="F63" s="37" t="s">
        <v>170</v>
      </c>
      <c r="G63" s="30" t="s">
        <v>171</v>
      </c>
    </row>
    <row r="64" spans="1:9" ht="15.75" customHeight="1">
      <c r="A64" s="15" t="s">
        <v>85</v>
      </c>
      <c r="B64" s="15" t="s">
        <v>323</v>
      </c>
      <c r="C64" s="15">
        <f t="shared" si="1"/>
        <v>62</v>
      </c>
      <c r="D64" s="22" t="s">
        <v>82</v>
      </c>
      <c r="E64" s="37" t="s">
        <v>359</v>
      </c>
      <c r="F64" s="37" t="s">
        <v>219</v>
      </c>
      <c r="G64" s="30" t="s">
        <v>226</v>
      </c>
    </row>
    <row r="65" spans="1:7" ht="15.75" customHeight="1">
      <c r="A65" s="15" t="s">
        <v>192</v>
      </c>
      <c r="B65" s="15" t="s">
        <v>322</v>
      </c>
      <c r="C65" s="15">
        <f t="shared" si="1"/>
        <v>63</v>
      </c>
      <c r="D65" s="22" t="s">
        <v>70</v>
      </c>
      <c r="E65" s="37" t="s">
        <v>172</v>
      </c>
      <c r="F65" s="37" t="s">
        <v>173</v>
      </c>
      <c r="G65" s="30" t="s">
        <v>174</v>
      </c>
    </row>
    <row r="66" spans="1:7" ht="15.75" customHeight="1">
      <c r="A66" s="15" t="s">
        <v>84</v>
      </c>
      <c r="B66" s="15">
        <v>53</v>
      </c>
      <c r="C66" s="15">
        <f t="shared" si="1"/>
        <v>64</v>
      </c>
      <c r="D66" s="22" t="s">
        <v>175</v>
      </c>
      <c r="E66" s="37" t="s">
        <v>178</v>
      </c>
      <c r="F66" s="37" t="s">
        <v>176</v>
      </c>
      <c r="G66" s="30" t="s">
        <v>177</v>
      </c>
    </row>
    <row r="67" spans="1:7" ht="15.75" customHeight="1">
      <c r="A67" s="15" t="s">
        <v>84</v>
      </c>
      <c r="B67" s="49" t="s">
        <v>13</v>
      </c>
      <c r="C67" s="15">
        <f t="shared" si="1"/>
        <v>65</v>
      </c>
      <c r="D67" s="22" t="s">
        <v>179</v>
      </c>
      <c r="E67" s="37" t="s">
        <v>180</v>
      </c>
      <c r="F67" s="37" t="s">
        <v>181</v>
      </c>
      <c r="G67" s="30" t="s">
        <v>182</v>
      </c>
    </row>
    <row r="68" spans="1:7" ht="15.75" customHeight="1">
      <c r="A68" s="15" t="s">
        <v>84</v>
      </c>
      <c r="B68" s="49" t="s">
        <v>13</v>
      </c>
      <c r="C68" s="15">
        <f t="shared" si="1"/>
        <v>66</v>
      </c>
      <c r="D68" s="22" t="s">
        <v>70</v>
      </c>
      <c r="E68" s="37" t="s">
        <v>183</v>
      </c>
      <c r="F68" s="37" t="s">
        <v>184</v>
      </c>
      <c r="G68" s="30" t="s">
        <v>185</v>
      </c>
    </row>
    <row r="69" spans="1:7" ht="15.75" customHeight="1">
      <c r="A69" s="15" t="s">
        <v>85</v>
      </c>
      <c r="B69" s="15">
        <v>51</v>
      </c>
      <c r="C69" s="15">
        <f t="shared" si="1"/>
        <v>67</v>
      </c>
      <c r="D69" s="29" t="s">
        <v>18</v>
      </c>
      <c r="E69" s="37" t="s">
        <v>186</v>
      </c>
      <c r="F69" s="37" t="s">
        <v>187</v>
      </c>
      <c r="G69" s="30" t="s">
        <v>188</v>
      </c>
    </row>
    <row r="70" spans="1:7" ht="15.75" customHeight="1">
      <c r="A70" s="15" t="s">
        <v>192</v>
      </c>
      <c r="B70" s="15">
        <v>92</v>
      </c>
      <c r="C70" s="15">
        <f t="shared" ref="C70:C102" si="2">C69+1</f>
        <v>68</v>
      </c>
      <c r="D70" s="29" t="s">
        <v>70</v>
      </c>
      <c r="E70" s="37" t="s">
        <v>300</v>
      </c>
      <c r="F70" s="37" t="s">
        <v>310</v>
      </c>
      <c r="G70" s="30"/>
    </row>
    <row r="71" spans="1:7" ht="15.75" customHeight="1">
      <c r="A71" s="15" t="s">
        <v>192</v>
      </c>
      <c r="B71" s="15">
        <v>40</v>
      </c>
      <c r="C71" s="15">
        <f t="shared" si="2"/>
        <v>69</v>
      </c>
      <c r="D71" s="29" t="s">
        <v>115</v>
      </c>
      <c r="E71" s="37" t="s">
        <v>189</v>
      </c>
      <c r="F71" s="37" t="s">
        <v>190</v>
      </c>
      <c r="G71" s="30" t="s">
        <v>191</v>
      </c>
    </row>
    <row r="72" spans="1:7" ht="15.75" customHeight="1">
      <c r="A72" s="15" t="s">
        <v>85</v>
      </c>
      <c r="B72" s="15">
        <v>49</v>
      </c>
      <c r="C72" s="15">
        <f t="shared" si="2"/>
        <v>70</v>
      </c>
      <c r="D72" s="9" t="s">
        <v>24</v>
      </c>
      <c r="E72" s="37" t="s">
        <v>199</v>
      </c>
      <c r="F72" s="37" t="s">
        <v>200</v>
      </c>
      <c r="G72" s="30" t="s">
        <v>201</v>
      </c>
    </row>
    <row r="73" spans="1:7" ht="15.75" customHeight="1">
      <c r="A73" s="15" t="s">
        <v>84</v>
      </c>
      <c r="B73" s="49" t="s">
        <v>321</v>
      </c>
      <c r="C73" s="15">
        <f t="shared" si="2"/>
        <v>71</v>
      </c>
      <c r="D73" s="22" t="s">
        <v>23</v>
      </c>
      <c r="E73" s="37" t="s">
        <v>202</v>
      </c>
      <c r="F73" s="37" t="s">
        <v>203</v>
      </c>
      <c r="G73" s="33" t="s">
        <v>204</v>
      </c>
    </row>
    <row r="74" spans="1:7" ht="15.75" customHeight="1">
      <c r="A74" s="15" t="s">
        <v>85</v>
      </c>
      <c r="B74" s="15">
        <v>34</v>
      </c>
      <c r="C74" s="15">
        <f t="shared" si="2"/>
        <v>72</v>
      </c>
      <c r="D74" s="22" t="s">
        <v>205</v>
      </c>
      <c r="E74" s="37" t="s">
        <v>206</v>
      </c>
      <c r="F74" s="37" t="s">
        <v>207</v>
      </c>
      <c r="G74" s="33" t="s">
        <v>208</v>
      </c>
    </row>
    <row r="75" spans="1:7" ht="15.75" customHeight="1">
      <c r="A75" s="49" t="s">
        <v>210</v>
      </c>
      <c r="B75" s="49" t="s">
        <v>13</v>
      </c>
      <c r="C75" s="15">
        <f t="shared" si="2"/>
        <v>73</v>
      </c>
      <c r="D75" s="22" t="s">
        <v>23</v>
      </c>
      <c r="E75" s="37" t="s">
        <v>209</v>
      </c>
      <c r="F75" s="37" t="s">
        <v>211</v>
      </c>
      <c r="G75" s="32"/>
    </row>
    <row r="76" spans="1:7" ht="15.75" customHeight="1">
      <c r="A76" s="49" t="s">
        <v>210</v>
      </c>
      <c r="B76" s="49" t="s">
        <v>13</v>
      </c>
      <c r="C76" s="15">
        <f t="shared" si="2"/>
        <v>74</v>
      </c>
      <c r="D76" s="29" t="s">
        <v>115</v>
      </c>
      <c r="E76" s="37" t="s">
        <v>217</v>
      </c>
      <c r="F76" s="37" t="s">
        <v>218</v>
      </c>
      <c r="G76" s="32"/>
    </row>
    <row r="77" spans="1:7" ht="15.75" customHeight="1">
      <c r="A77" s="49" t="s">
        <v>210</v>
      </c>
      <c r="B77" s="49" t="s">
        <v>320</v>
      </c>
      <c r="C77" s="15">
        <f t="shared" si="2"/>
        <v>75</v>
      </c>
      <c r="D77" s="22" t="s">
        <v>23</v>
      </c>
      <c r="E77" s="37" t="s">
        <v>214</v>
      </c>
      <c r="F77" s="37" t="s">
        <v>215</v>
      </c>
      <c r="G77" s="32"/>
    </row>
    <row r="78" spans="1:7" ht="15.75" customHeight="1">
      <c r="A78" s="15" t="s">
        <v>85</v>
      </c>
      <c r="B78" s="49" t="s">
        <v>319</v>
      </c>
      <c r="C78" s="15">
        <f t="shared" si="2"/>
        <v>76</v>
      </c>
      <c r="D78" s="22" t="s">
        <v>23</v>
      </c>
      <c r="E78" s="37" t="s">
        <v>216</v>
      </c>
      <c r="F78" s="63" t="s">
        <v>302</v>
      </c>
      <c r="G78" s="32"/>
    </row>
    <row r="79" spans="1:7" ht="15.75" customHeight="1">
      <c r="A79" s="15" t="s">
        <v>85</v>
      </c>
      <c r="B79" s="49" t="s">
        <v>319</v>
      </c>
      <c r="C79" s="15">
        <f t="shared" si="2"/>
        <v>77</v>
      </c>
      <c r="D79" s="22" t="s">
        <v>74</v>
      </c>
      <c r="E79" s="23" t="s">
        <v>220</v>
      </c>
      <c r="F79" s="37" t="s">
        <v>221</v>
      </c>
      <c r="G79" s="32"/>
    </row>
    <row r="80" spans="1:7" ht="15.75" customHeight="1">
      <c r="A80" s="15" t="s">
        <v>192</v>
      </c>
      <c r="B80" s="15">
        <v>40</v>
      </c>
      <c r="C80" s="15">
        <f t="shared" si="2"/>
        <v>78</v>
      </c>
      <c r="D80" s="22" t="s">
        <v>142</v>
      </c>
      <c r="E80" s="23" t="s">
        <v>222</v>
      </c>
      <c r="F80" s="37" t="s">
        <v>223</v>
      </c>
      <c r="G80" s="32"/>
    </row>
    <row r="81" spans="1:7" ht="15.75" customHeight="1">
      <c r="A81" s="15" t="s">
        <v>85</v>
      </c>
      <c r="B81" s="15">
        <v>8</v>
      </c>
      <c r="C81" s="15">
        <f t="shared" si="2"/>
        <v>79</v>
      </c>
      <c r="D81" s="22" t="s">
        <v>24</v>
      </c>
      <c r="E81" s="23" t="s">
        <v>224</v>
      </c>
      <c r="F81" s="37" t="s">
        <v>225</v>
      </c>
      <c r="G81" s="32"/>
    </row>
    <row r="82" spans="1:7" ht="15.75" customHeight="1">
      <c r="A82" s="15" t="s">
        <v>230</v>
      </c>
      <c r="B82" s="15">
        <v>39</v>
      </c>
      <c r="C82" s="15">
        <f t="shared" si="2"/>
        <v>80</v>
      </c>
      <c r="D82" s="22" t="s">
        <v>227</v>
      </c>
      <c r="E82" s="23" t="s">
        <v>228</v>
      </c>
      <c r="F82" s="37" t="s">
        <v>229</v>
      </c>
      <c r="G82" s="32"/>
    </row>
    <row r="83" spans="1:7" ht="15.75" customHeight="1">
      <c r="A83" s="49" t="s">
        <v>85</v>
      </c>
      <c r="B83" s="15">
        <v>11</v>
      </c>
      <c r="C83" s="15">
        <f t="shared" si="2"/>
        <v>81</v>
      </c>
      <c r="D83" s="9" t="s">
        <v>231</v>
      </c>
      <c r="E83" s="23" t="s">
        <v>233</v>
      </c>
      <c r="F83" t="s">
        <v>232</v>
      </c>
      <c r="G83" s="32"/>
    </row>
    <row r="84" spans="1:7" ht="15.75" customHeight="1">
      <c r="A84" s="15" t="s">
        <v>230</v>
      </c>
      <c r="B84" s="15">
        <v>55</v>
      </c>
      <c r="C84" s="15">
        <f t="shared" si="2"/>
        <v>82</v>
      </c>
      <c r="D84" s="22" t="s">
        <v>23</v>
      </c>
      <c r="E84" s="24" t="s">
        <v>234</v>
      </c>
      <c r="F84" s="19" t="s">
        <v>235</v>
      </c>
      <c r="G84" s="32"/>
    </row>
    <row r="85" spans="1:7" ht="15.75" customHeight="1">
      <c r="A85" s="15" t="s">
        <v>192</v>
      </c>
      <c r="B85" s="15">
        <v>100</v>
      </c>
      <c r="C85" s="15">
        <f t="shared" si="2"/>
        <v>83</v>
      </c>
      <c r="D85" s="22" t="s">
        <v>293</v>
      </c>
      <c r="E85" s="24" t="s">
        <v>312</v>
      </c>
      <c r="F85" s="19" t="s">
        <v>292</v>
      </c>
      <c r="G85" s="23" t="s">
        <v>294</v>
      </c>
    </row>
    <row r="86" spans="1:7" ht="15.75" customHeight="1">
      <c r="A86" s="49" t="s">
        <v>210</v>
      </c>
      <c r="B86" s="15">
        <v>53</v>
      </c>
      <c r="C86" s="15">
        <f t="shared" si="2"/>
        <v>84</v>
      </c>
      <c r="D86" s="22" t="s">
        <v>238</v>
      </c>
      <c r="E86" s="24" t="s">
        <v>239</v>
      </c>
      <c r="F86" s="19" t="s">
        <v>240</v>
      </c>
      <c r="G86" s="23" t="s">
        <v>241</v>
      </c>
    </row>
    <row r="87" spans="1:7" ht="15.75" customHeight="1">
      <c r="A87" s="49" t="s">
        <v>85</v>
      </c>
      <c r="B87" s="49" t="s">
        <v>324</v>
      </c>
      <c r="C87" s="15">
        <f t="shared" si="2"/>
        <v>85</v>
      </c>
      <c r="D87" s="22" t="s">
        <v>242</v>
      </c>
      <c r="E87" s="24" t="s">
        <v>243</v>
      </c>
      <c r="F87" s="63" t="s">
        <v>304</v>
      </c>
      <c r="G87" s="35"/>
    </row>
    <row r="88" spans="1:7" ht="15.75" customHeight="1">
      <c r="A88" s="49" t="s">
        <v>85</v>
      </c>
      <c r="B88" s="15">
        <v>48</v>
      </c>
      <c r="C88" s="15">
        <f t="shared" si="2"/>
        <v>86</v>
      </c>
      <c r="D88" s="22" t="s">
        <v>242</v>
      </c>
      <c r="E88" s="24" t="s">
        <v>244</v>
      </c>
      <c r="F88" s="64" t="s">
        <v>303</v>
      </c>
      <c r="G88" s="35"/>
    </row>
    <row r="89" spans="1:7" ht="15" customHeight="1">
      <c r="A89" s="49" t="s">
        <v>85</v>
      </c>
      <c r="B89" s="15">
        <v>92</v>
      </c>
      <c r="C89" s="15">
        <f t="shared" si="2"/>
        <v>87</v>
      </c>
      <c r="D89" s="22" t="s">
        <v>242</v>
      </c>
      <c r="E89" s="24" t="s">
        <v>246</v>
      </c>
      <c r="F89" s="57" t="s">
        <v>247</v>
      </c>
      <c r="G89" s="23" t="s">
        <v>248</v>
      </c>
    </row>
    <row r="90" spans="1:7" ht="15" customHeight="1">
      <c r="A90" s="49" t="s">
        <v>210</v>
      </c>
      <c r="B90" s="15">
        <v>1</v>
      </c>
      <c r="C90" s="15">
        <f t="shared" si="2"/>
        <v>88</v>
      </c>
      <c r="D90" s="22" t="s">
        <v>24</v>
      </c>
      <c r="E90" s="24" t="s">
        <v>249</v>
      </c>
      <c r="F90" s="57" t="s">
        <v>250</v>
      </c>
      <c r="G90" s="35"/>
    </row>
    <row r="91" spans="1:7" ht="15" customHeight="1">
      <c r="A91" s="15" t="s">
        <v>230</v>
      </c>
      <c r="B91" s="15">
        <v>1</v>
      </c>
      <c r="C91" s="15">
        <f t="shared" si="2"/>
        <v>89</v>
      </c>
      <c r="D91" s="22" t="s">
        <v>24</v>
      </c>
      <c r="E91" s="24" t="s">
        <v>283</v>
      </c>
      <c r="F91" s="57" t="s">
        <v>251</v>
      </c>
      <c r="G91" s="35"/>
    </row>
    <row r="92" spans="1:7" ht="15" customHeight="1">
      <c r="A92" s="15" t="s">
        <v>230</v>
      </c>
      <c r="B92" s="15">
        <v>6</v>
      </c>
      <c r="C92" s="15">
        <f t="shared" si="2"/>
        <v>90</v>
      </c>
      <c r="D92" s="22" t="s">
        <v>70</v>
      </c>
      <c r="E92" s="24" t="s">
        <v>252</v>
      </c>
      <c r="F92" s="57" t="s">
        <v>253</v>
      </c>
      <c r="G92" s="35"/>
    </row>
    <row r="93" spans="1:7" ht="15" customHeight="1">
      <c r="A93" s="15" t="s">
        <v>230</v>
      </c>
      <c r="B93" s="49" t="s">
        <v>318</v>
      </c>
      <c r="C93" s="15">
        <f t="shared" si="2"/>
        <v>91</v>
      </c>
      <c r="D93" s="22" t="s">
        <v>70</v>
      </c>
      <c r="E93" s="51" t="s">
        <v>254</v>
      </c>
      <c r="F93" s="57" t="s">
        <v>255</v>
      </c>
      <c r="G93" s="52" t="s">
        <v>256</v>
      </c>
    </row>
    <row r="94" spans="1:7" ht="15" customHeight="1">
      <c r="A94" s="49" t="s">
        <v>85</v>
      </c>
      <c r="B94" s="49" t="s">
        <v>317</v>
      </c>
      <c r="C94" s="15">
        <f t="shared" si="2"/>
        <v>92</v>
      </c>
      <c r="D94" s="22" t="s">
        <v>24</v>
      </c>
      <c r="E94" s="51" t="s">
        <v>263</v>
      </c>
      <c r="F94" s="58" t="s">
        <v>264</v>
      </c>
      <c r="G94" s="46" t="s">
        <v>265</v>
      </c>
    </row>
    <row r="95" spans="1:7" ht="15" customHeight="1">
      <c r="A95" s="49" t="s">
        <v>85</v>
      </c>
      <c r="B95" s="15">
        <v>9</v>
      </c>
      <c r="C95" s="15">
        <f t="shared" si="2"/>
        <v>93</v>
      </c>
      <c r="D95" s="22" t="s">
        <v>307</v>
      </c>
      <c r="E95" s="51" t="s">
        <v>308</v>
      </c>
      <c r="F95" s="59" t="s">
        <v>309</v>
      </c>
      <c r="G95" s="47"/>
    </row>
    <row r="96" spans="1:7" ht="15" customHeight="1">
      <c r="A96" s="49" t="s">
        <v>85</v>
      </c>
      <c r="B96" s="15">
        <v>6</v>
      </c>
      <c r="C96" s="15">
        <f t="shared" si="2"/>
        <v>94</v>
      </c>
      <c r="D96" s="56" t="s">
        <v>70</v>
      </c>
      <c r="E96" s="51" t="s">
        <v>298</v>
      </c>
      <c r="F96" s="59" t="s">
        <v>299</v>
      </c>
      <c r="G96" s="47"/>
    </row>
    <row r="97" spans="1:7" ht="15" customHeight="1">
      <c r="A97" s="49" t="s">
        <v>85</v>
      </c>
      <c r="B97" s="15">
        <v>46</v>
      </c>
      <c r="C97" s="15">
        <f t="shared" si="2"/>
        <v>95</v>
      </c>
      <c r="D97" s="56" t="s">
        <v>272</v>
      </c>
      <c r="E97" s="51" t="s">
        <v>273</v>
      </c>
      <c r="F97" s="60" t="s">
        <v>274</v>
      </c>
      <c r="G97" s="47"/>
    </row>
    <row r="98" spans="1:7" ht="15" customHeight="1">
      <c r="A98" s="15" t="s">
        <v>192</v>
      </c>
      <c r="B98" s="15">
        <v>1</v>
      </c>
      <c r="C98" s="15">
        <f t="shared" si="2"/>
        <v>96</v>
      </c>
      <c r="D98" s="22" t="s">
        <v>24</v>
      </c>
      <c r="E98" s="51" t="s">
        <v>278</v>
      </c>
      <c r="F98" s="61" t="s">
        <v>279</v>
      </c>
      <c r="G98" s="46" t="s">
        <v>280</v>
      </c>
    </row>
    <row r="99" spans="1:7" ht="15" customHeight="1">
      <c r="A99" s="49" t="s">
        <v>85</v>
      </c>
      <c r="B99" s="49" t="s">
        <v>316</v>
      </c>
      <c r="C99" s="15">
        <f t="shared" si="2"/>
        <v>97</v>
      </c>
      <c r="D99" s="22" t="s">
        <v>282</v>
      </c>
      <c r="E99" s="51" t="s">
        <v>281</v>
      </c>
      <c r="F99" s="61" t="s">
        <v>284</v>
      </c>
      <c r="G99" s="46" t="s">
        <v>285</v>
      </c>
    </row>
    <row r="100" spans="1:7" ht="15" customHeight="1">
      <c r="A100" s="49" t="s">
        <v>85</v>
      </c>
      <c r="B100" s="49" t="s">
        <v>315</v>
      </c>
      <c r="C100" s="15">
        <f t="shared" si="2"/>
        <v>98</v>
      </c>
      <c r="D100" s="22" t="s">
        <v>23</v>
      </c>
      <c r="E100" s="51" t="s">
        <v>286</v>
      </c>
      <c r="F100" s="61" t="s">
        <v>287</v>
      </c>
      <c r="G100" s="47"/>
    </row>
    <row r="101" spans="1:7" ht="15" customHeight="1">
      <c r="A101" s="15" t="s">
        <v>230</v>
      </c>
      <c r="B101" s="15">
        <v>1</v>
      </c>
      <c r="C101" s="15">
        <f t="shared" si="2"/>
        <v>99</v>
      </c>
      <c r="D101" s="22" t="s">
        <v>23</v>
      </c>
      <c r="E101" s="51" t="s">
        <v>290</v>
      </c>
      <c r="F101" s="61" t="s">
        <v>291</v>
      </c>
      <c r="G101" s="47"/>
    </row>
    <row r="102" spans="1:7" ht="15" customHeight="1">
      <c r="A102" s="15" t="s">
        <v>192</v>
      </c>
      <c r="B102" s="15">
        <v>38</v>
      </c>
      <c r="C102" s="15">
        <f t="shared" si="2"/>
        <v>100</v>
      </c>
      <c r="D102" s="22" t="s">
        <v>24</v>
      </c>
      <c r="E102" s="51" t="s">
        <v>295</v>
      </c>
      <c r="F102" s="61" t="s">
        <v>296</v>
      </c>
      <c r="G102" s="46" t="s">
        <v>297</v>
      </c>
    </row>
    <row r="103" spans="1:7" ht="15" customHeight="1">
      <c r="G103" s="62"/>
    </row>
  </sheetData>
  <dataValidations count="1">
    <dataValidation type="list" allowBlank="1" sqref="D22 D1:D15 D17 D32:D45 D48 F88:F89 D59:D61 D63:D64 D69 D75:D81 D83:D84 G90:G93 G87:G88 E93 D50:D57 D91:D95 D98:D100 D71:D73 E95:F95 E97:E98">
      <formula1>"client,banker,admin,client/banker,banker/admin,client/admin,client/banker/admin"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0"/>
  <sheetViews>
    <sheetView topLeftCell="C1" workbookViewId="0">
      <selection activeCell="C6" sqref="C6"/>
    </sheetView>
  </sheetViews>
  <sheetFormatPr defaultColWidth="12.5703125" defaultRowHeight="15" customHeight="1"/>
  <cols>
    <col min="1" max="1" width="17" bestFit="1" customWidth="1"/>
    <col min="2" max="2" width="12.140625" customWidth="1"/>
    <col min="3" max="3" width="193.42578125" customWidth="1"/>
    <col min="4" max="4" width="123.140625" bestFit="1" customWidth="1"/>
    <col min="5" max="5" width="49.28515625" bestFit="1" customWidth="1"/>
  </cols>
  <sheetData>
    <row r="1" spans="1:25" ht="41.25" customHeight="1">
      <c r="A1" s="11" t="s">
        <v>7</v>
      </c>
      <c r="B1" s="2" t="s">
        <v>1</v>
      </c>
      <c r="C1" s="2" t="s">
        <v>16</v>
      </c>
      <c r="D1" s="2" t="s">
        <v>14</v>
      </c>
      <c r="E1" s="11" t="s">
        <v>15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8.5" customHeight="1">
      <c r="A2" s="10">
        <v>1</v>
      </c>
      <c r="B2" s="12" t="s">
        <v>258</v>
      </c>
      <c r="C2" s="12" t="s">
        <v>336</v>
      </c>
      <c r="D2" s="12" t="s">
        <v>337</v>
      </c>
      <c r="E2" s="10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55.5" customHeight="1">
      <c r="A3" s="10">
        <f>A2+1</f>
        <v>2</v>
      </c>
      <c r="B3" s="12" t="s">
        <v>259</v>
      </c>
      <c r="C3" s="28" t="s">
        <v>338</v>
      </c>
      <c r="D3" s="10" t="s">
        <v>260</v>
      </c>
      <c r="E3" s="10" t="s">
        <v>353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>
      <c r="A4" s="10">
        <f t="shared" ref="A4:A11" si="0">A3+1</f>
        <v>3</v>
      </c>
      <c r="B4" s="12" t="s">
        <v>262</v>
      </c>
      <c r="C4" s="54" t="s">
        <v>261</v>
      </c>
      <c r="D4" s="12" t="s">
        <v>339</v>
      </c>
      <c r="E4" s="10" t="s">
        <v>353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32.25" customHeight="1">
      <c r="A5" s="10">
        <f t="shared" si="0"/>
        <v>4</v>
      </c>
      <c r="B5" s="12" t="s">
        <v>262</v>
      </c>
      <c r="C5" s="55" t="s">
        <v>340</v>
      </c>
      <c r="D5" s="12" t="s">
        <v>341</v>
      </c>
      <c r="E5" s="12" t="s">
        <v>354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>
      <c r="A6" s="10">
        <f t="shared" si="0"/>
        <v>5</v>
      </c>
      <c r="B6" s="12" t="s">
        <v>262</v>
      </c>
      <c r="C6" s="55" t="s">
        <v>342</v>
      </c>
      <c r="D6" s="12" t="s">
        <v>343</v>
      </c>
      <c r="E6" s="12" t="s">
        <v>355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>
      <c r="A7" s="10">
        <f t="shared" si="0"/>
        <v>6</v>
      </c>
      <c r="B7" s="12" t="s">
        <v>267</v>
      </c>
      <c r="C7" s="19" t="s">
        <v>266</v>
      </c>
      <c r="D7" s="73" t="s">
        <v>268</v>
      </c>
      <c r="E7" s="10" t="s">
        <v>356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>
      <c r="A8" s="10">
        <f t="shared" si="0"/>
        <v>7</v>
      </c>
      <c r="B8" s="12" t="s">
        <v>262</v>
      </c>
      <c r="C8" s="19" t="s">
        <v>344</v>
      </c>
      <c r="D8" s="73" t="s">
        <v>345</v>
      </c>
      <c r="E8" s="12">
        <v>18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39.75" customHeight="1">
      <c r="A9" s="10">
        <f t="shared" si="0"/>
        <v>8</v>
      </c>
      <c r="B9" s="12" t="s">
        <v>271</v>
      </c>
      <c r="C9" s="55" t="s">
        <v>346</v>
      </c>
      <c r="D9" s="74" t="s">
        <v>347</v>
      </c>
      <c r="E9" s="12" t="s">
        <v>357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>
      <c r="A10" s="10">
        <f t="shared" si="0"/>
        <v>9</v>
      </c>
      <c r="B10" s="12" t="s">
        <v>348</v>
      </c>
      <c r="C10" s="55" t="s">
        <v>349</v>
      </c>
      <c r="D10" s="12" t="s">
        <v>350</v>
      </c>
      <c r="E10" s="10">
        <v>49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>
      <c r="A11" s="10">
        <f t="shared" si="0"/>
        <v>10</v>
      </c>
      <c r="B11" s="12" t="s">
        <v>348</v>
      </c>
      <c r="C11" s="55" t="s">
        <v>351</v>
      </c>
      <c r="D11" s="12" t="s">
        <v>352</v>
      </c>
      <c r="E11" s="10" t="s">
        <v>358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/>
    <row r="222" spans="1:25" ht="15.75" customHeight="1"/>
    <row r="223" spans="1:25" ht="15.75" customHeight="1"/>
    <row r="224" spans="1:2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Info</vt:lpstr>
      <vt:lpstr>SE Milestone 1</vt:lpstr>
      <vt:lpstr>Non-Functional Requirements She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Hisham Ibrahim Abdelfattah</dc:creator>
  <cp:lastModifiedBy>tawfik koptan</cp:lastModifiedBy>
  <dcterms:created xsi:type="dcterms:W3CDTF">2024-02-27T13:30:16Z</dcterms:created>
  <dcterms:modified xsi:type="dcterms:W3CDTF">2026-03-14T21:26:35Z</dcterms:modified>
</cp:coreProperties>
</file>